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igital Supply Chain" sheetId="1" state="visible" r:id="rId3"/>
    <sheet name="Technical Residency Signals" sheetId="2" state="visible" r:id="rId4"/>
    <sheet name="Regulatory &amp; Cure Notice Log" sheetId="3" state="visible" r:id="rId5"/>
    <sheet name="Quarterly Audit Trail" sheetId="4" state="visible" r:id="rId6"/>
    <sheet name="Instructions &amp; Reference" sheetId="5" state="visible" r:id="rId7"/>
  </sheets>
  <definedNames>
    <definedName function="false" hidden="true" localSheetId="0" name="_xlnm._FilterDatabase" vbProcedure="false">'Digital Supply Chain'!$A$7:$K$37</definedName>
    <definedName function="false" hidden="true" localSheetId="2" name="_xlnm._FilterDatabase" vbProcedure="false">'Regulatory &amp; Cure Notice Log'!$A$7:$J$30</definedName>
    <definedName function="false" hidden="true" localSheetId="1" name="_xlnm._FilterDatabase" vbProcedure="false">'Technical Residency Signals'!$A$7:$J$30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<sst xmlns="http://schemas.openxmlformats.org/spreadsheetml/2006/main" count="341" uniqueCount="228">
  <si>
    <t xml:space="preserve">DIGITAL SUPPLY CHAIN INVENTORY</t>
  </si>
  <si>
    <t xml:space="preserve">SB 1188 Vendor Due Diligence Register  |  [Practice Name]  |  Effective: February 2026</t>
  </si>
  <si>
    <t xml:space="preserve">INSTRUCTIONS: Document every vendor that accesses, stores, processes, or transmits patient data (PHI/PII). Update quarterly. Rows in italics are examples — replace with your actual vendors.</t>
  </si>
  <si>
    <t xml:space="preserve">#</t>
  </si>
  <si>
    <t xml:space="preserve">Vendor Name</t>
  </si>
  <si>
    <t xml:space="preserve">Service Provided</t>
  </si>
  <si>
    <t xml:space="preserve">Risk Tier</t>
  </si>
  <si>
    <t xml:space="preserve">PHI Access?</t>
  </si>
  <si>
    <t xml:space="preserve">Server Location</t>
  </si>
  <si>
    <t xml:space="preserve">Cloud Region</t>
  </si>
  <si>
    <t xml:space="preserve">Verification Date</t>
  </si>
  <si>
    <t xml:space="preserve">Proof Type</t>
  </si>
  <si>
    <t xml:space="preserve">Verified By</t>
  </si>
  <si>
    <t xml:space="preserve">Status</t>
  </si>
  <si>
    <t xml:space="preserve">1</t>
  </si>
  <si>
    <t xml:space="preserve">eClinicalWorks</t>
  </si>
  <si>
    <t xml:space="preserve">EMR / Patient Portal</t>
  </si>
  <si>
    <t xml:space="preserve">CRITICAL</t>
  </si>
  <si>
    <t xml:space="preserve">Yes</t>
  </si>
  <si>
    <t xml:space="preserve">USA (Texas / Virginia)</t>
  </si>
  <si>
    <t xml:space="preserve">AWS us-east-1</t>
  </si>
  <si>
    <t xml:space="preserve">01/15/2026</t>
  </si>
  <si>
    <t xml:space="preserve">SOC 2 Type II Report</t>
  </si>
  <si>
    <t xml:space="preserve">J. Martinez</t>
  </si>
  <si>
    <t xml:space="preserve">SOVEREIGN</t>
  </si>
  <si>
    <t xml:space="preserve">2</t>
  </si>
  <si>
    <t xml:space="preserve">Google Workspace</t>
  </si>
  <si>
    <t xml:space="preserve">Email / Calendar / Drive</t>
  </si>
  <si>
    <t xml:space="preserve">HIGH</t>
  </si>
  <si>
    <t xml:space="preserve">USA (Multiple)</t>
  </si>
  <si>
    <t xml:space="preserve">GCP us-central1</t>
  </si>
  <si>
    <t xml:space="preserve">01/20/2026</t>
  </si>
  <si>
    <t xml:space="preserve">DPA + Data Residency Cert</t>
  </si>
  <si>
    <t xml:space="preserve">3</t>
  </si>
  <si>
    <t xml:space="preserve">Mailchimp (Intuit)</t>
  </si>
  <si>
    <t xml:space="preserve">Patient Newsletter</t>
  </si>
  <si>
    <t xml:space="preserve">MODERATE</t>
  </si>
  <si>
    <t xml:space="preserve">No (PII only)</t>
  </si>
  <si>
    <t xml:space="preserve">USA (Atlanta, GA)</t>
  </si>
  <si>
    <t xml:space="preserve">02/01/2026</t>
  </si>
  <si>
    <t xml:space="preserve">TOS Review + Email Conf.</t>
  </si>
  <si>
    <t xml:space="preserve">S. Lee</t>
  </si>
  <si>
    <t xml:space="preserve">4</t>
  </si>
  <si>
    <t xml:space="preserve">Freed Health</t>
  </si>
  <si>
    <t xml:space="preserve">AI Clinical Transcription</t>
  </si>
  <si>
    <t xml:space="preserve">USA (Verified)</t>
  </si>
  <si>
    <t xml:space="preserve">AWS us-east-2</t>
  </si>
  <si>
    <t xml:space="preserve">02/05/2026</t>
  </si>
  <si>
    <t xml:space="preserve">Vendor Certificate + NPI Audit</t>
  </si>
  <si>
    <t xml:space="preserve">5</t>
  </si>
  <si>
    <t xml:space="preserve">Doxy.me</t>
  </si>
  <si>
    <t xml:space="preserve">Telehealth Platform</t>
  </si>
  <si>
    <t xml:space="preserve">USA (Virginia)</t>
  </si>
  <si>
    <t xml:space="preserve">02/03/2026</t>
  </si>
  <si>
    <t xml:space="preserve">BAA + Server Location Letter</t>
  </si>
  <si>
    <t xml:space="preserve">6</t>
  </si>
  <si>
    <t xml:space="preserve">WP Engine</t>
  </si>
  <si>
    <t xml:space="preserve">Website Hosting</t>
  </si>
  <si>
    <t xml:space="preserve">USA (Texas)</t>
  </si>
  <si>
    <t xml:space="preserve">01/25/2026</t>
  </si>
  <si>
    <t xml:space="preserve">DNS + IP Geolocation Audit</t>
  </si>
  <si>
    <t xml:space="preserve">IT Admin</t>
  </si>
  <si>
    <t xml:space="preserve">7</t>
  </si>
  <si>
    <t xml:space="preserve">Weave Communications</t>
  </si>
  <si>
    <t xml:space="preserve">Patient Messaging / VoIP</t>
  </si>
  <si>
    <t xml:space="preserve">USA (Utah)</t>
  </si>
  <si>
    <t xml:space="preserve">AWS us-west-2</t>
  </si>
  <si>
    <t xml:space="preserve">Vendor Email Confirmation</t>
  </si>
  <si>
    <t xml:space="preserve">8</t>
  </si>
  <si>
    <t xml:space="preserve">Waystar</t>
  </si>
  <si>
    <t xml:space="preserve">Billing / Revenue Cycle</t>
  </si>
  <si>
    <t xml:space="preserve">USA (Kentucky)</t>
  </si>
  <si>
    <t xml:space="preserve">Private Cloud (US)</t>
  </si>
  <si>
    <t xml:space="preserve">01/28/2026</t>
  </si>
  <si>
    <t xml:space="preserve">SOC 2 Report + BAA</t>
  </si>
  <si>
    <t xml:space="preserve">9</t>
  </si>
  <si>
    <t xml:space="preserve">[New Vendor]</t>
  </si>
  <si>
    <t xml:space="preserve">[Service]</t>
  </si>
  <si>
    <t xml:space="preserve">[Tier]</t>
  </si>
  <si>
    <t xml:space="preserve">[Yes/No]</t>
  </si>
  <si>
    <t xml:space="preserve">[Location]</t>
  </si>
  <si>
    <t xml:space="preserve">[Region]</t>
  </si>
  <si>
    <t xml:space="preserve">PENDING</t>
  </si>
  <si>
    <t xml:space="preserve">10</t>
  </si>
  <si>
    <t xml:space="preserve">11</t>
  </si>
  <si>
    <t xml:space="preserve">12</t>
  </si>
  <si>
    <t xml:space="preserve">13</t>
  </si>
  <si>
    <t xml:space="preserve">14</t>
  </si>
  <si>
    <t xml:space="preserve">15</t>
  </si>
  <si>
    <t xml:space="preserve">16</t>
  </si>
  <si>
    <t xml:space="preserve">17</t>
  </si>
  <si>
    <t xml:space="preserve">18</t>
  </si>
  <si>
    <t xml:space="preserve">19</t>
  </si>
  <si>
    <t xml:space="preserve">20</t>
  </si>
  <si>
    <t xml:space="preserve">21</t>
  </si>
  <si>
    <t xml:space="preserve">22</t>
  </si>
  <si>
    <t xml:space="preserve">23</t>
  </si>
  <si>
    <t xml:space="preserve">24</t>
  </si>
  <si>
    <t xml:space="preserve">25</t>
  </si>
  <si>
    <t xml:space="preserve">26</t>
  </si>
  <si>
    <t xml:space="preserve">27</t>
  </si>
  <si>
    <t xml:space="preserve">28</t>
  </si>
  <si>
    <t xml:space="preserve">29</t>
  </si>
  <si>
    <t xml:space="preserve">30</t>
  </si>
  <si>
    <t xml:space="preserve">LEDGER SUMMARY</t>
  </si>
  <si>
    <t xml:space="preserve">Total Vendors Inventoried:</t>
  </si>
  <si>
    <t xml:space="preserve">Sovereign (Verified):</t>
  </si>
  <si>
    <t xml:space="preserve">Pending Verification:</t>
  </si>
  <si>
    <t xml:space="preserve">Non-Compliant / Unverified:</t>
  </si>
  <si>
    <t xml:space="preserve">Last Updated:</t>
  </si>
  <si>
    <t xml:space="preserve">[Date]</t>
  </si>
  <si>
    <t xml:space="preserve">Updated By:</t>
  </si>
  <si>
    <t xml:space="preserve">[Name / Title]</t>
  </si>
  <si>
    <t xml:space="preserve">TECHNICAL RESIDENCY SIGNALS</t>
  </si>
  <si>
    <t xml:space="preserve">IP Whitelist &amp; Infrastructure Verification Register  |  [Practice Name]</t>
  </si>
  <si>
    <t xml:space="preserve">INSTRUCTIONS: Track all network endpoints, devices, and remote access points. Verify that no data routes through foreign proxies, VPNs, or offshore IT support. Update quarterly or upon any infrastructure change.</t>
  </si>
  <si>
    <t xml:space="preserve">Device / System</t>
  </si>
  <si>
    <t xml:space="preserve">Primary IP Address</t>
  </si>
  <si>
    <t xml:space="preserve">Authorized Region</t>
  </si>
  <si>
    <t xml:space="preserve">IT Provider</t>
  </si>
  <si>
    <t xml:space="preserve">Connection Type</t>
  </si>
  <si>
    <t xml:space="preserve">Last Verified</t>
  </si>
  <si>
    <t xml:space="preserve">Foreign Routing Detected?</t>
  </si>
  <si>
    <t xml:space="preserve">Main Office Router</t>
  </si>
  <si>
    <t xml:space="preserve">192.168.x.x (Static)</t>
  </si>
  <si>
    <t xml:space="preserve">Austin, TX</t>
  </si>
  <si>
    <t xml:space="preserve">Spectrum Business</t>
  </si>
  <si>
    <t xml:space="preserve">Fiber / Static IP</t>
  </si>
  <si>
    <t xml:space="preserve">No</t>
  </si>
  <si>
    <t xml:space="preserve">Billing Dept VPN</t>
  </si>
  <si>
    <t xml:space="preserve">45.x.x.x (Masked)</t>
  </si>
  <si>
    <t xml:space="preserve">US-Central</t>
  </si>
  <si>
    <t xml:space="preserve">Internal IT</t>
  </si>
  <si>
    <t xml:space="preserve">Site-to-Site VPN</t>
  </si>
  <si>
    <t xml:space="preserve">Remote Admin Access</t>
  </si>
  <si>
    <t xml:space="preserve">[Masked]</t>
  </si>
  <si>
    <t xml:space="preserve">Dallas, TX</t>
  </si>
  <si>
    <t xml:space="preserve">SecureOps MSP</t>
  </si>
  <si>
    <t xml:space="preserve">RDP over VPN</t>
  </si>
  <si>
    <t xml:space="preserve">Telehealth Endpoint</t>
  </si>
  <si>
    <t xml:space="preserve">[Provider IP]</t>
  </si>
  <si>
    <t xml:space="preserve">US-East</t>
  </si>
  <si>
    <t xml:space="preserve">WebRTC (Browser)</t>
  </si>
  <si>
    <t xml:space="preserve">Patient Portal CDN</t>
  </si>
  <si>
    <t xml:space="preserve">[CDN Edge IP]</t>
  </si>
  <si>
    <t xml:space="preserve">US-Multi</t>
  </si>
  <si>
    <t xml:space="preserve">Cloudflare (US)</t>
  </si>
  <si>
    <t xml:space="preserve">HTTPS / CDN</t>
  </si>
  <si>
    <t xml:space="preserve">Staff Wi-Fi Network</t>
  </si>
  <si>
    <t xml:space="preserve">10.x.x.x</t>
  </si>
  <si>
    <t xml:space="preserve">Internal</t>
  </si>
  <si>
    <t xml:space="preserve">WPA3 Enterprise</t>
  </si>
  <si>
    <t xml:space="preserve">Backup Replication</t>
  </si>
  <si>
    <t xml:space="preserve">[Backup IP]</t>
  </si>
  <si>
    <t xml:space="preserve">Datto</t>
  </si>
  <si>
    <t xml:space="preserve">Encrypted Tunnel</t>
  </si>
  <si>
    <t xml:space="preserve">01/30/2026</t>
  </si>
  <si>
    <t xml:space="preserve">REGULATORY &amp; CURE NOTICE LOG</t>
  </si>
  <si>
    <t xml:space="preserve">Active Defense Register  |  [Practice Name]  |  SB 1188 / HB 149 Compliance</t>
  </si>
  <si>
    <t xml:space="preserve">INSTRUCTIONS: Document ALL regulatory inquiries, audit requests, patient complaints related to data sovereignty, and Cure Notices received. This log is your primary evidence of "Active Defense" and Reasonable Care. If it isn't in the ledger, it didn't happen.</t>
  </si>
  <si>
    <t xml:space="preserve">Date Received</t>
  </si>
  <si>
    <t xml:space="preserve">Agency / Entity</t>
  </si>
  <si>
    <t xml:space="preserve">Contact Person</t>
  </si>
  <si>
    <t xml:space="preserve">Issue Type</t>
  </si>
  <si>
    <t xml:space="preserve">Issue Description</t>
  </si>
  <si>
    <t xml:space="preserve">Resolution Action</t>
  </si>
  <si>
    <t xml:space="preserve">Evidence Attached?</t>
  </si>
  <si>
    <t xml:space="preserve">Date Resolved</t>
  </si>
  <si>
    <t xml:space="preserve">02/08/2026</t>
  </si>
  <si>
    <t xml:space="preserve">Texas DSHS</t>
  </si>
  <si>
    <t xml:space="preserve">Inspector R. Gomez</t>
  </si>
  <si>
    <t xml:space="preserve">AI Transparency Inquiry</t>
  </si>
  <si>
    <t xml:space="preserve">Routine inquiry regarding AI chatbot on practice website; requested HB 149 disclosure documentation</t>
  </si>
  <si>
    <t xml:space="preserve">Provided HB 149 AI Disclosure Kit, website screenshot showing footer notice, signed AI consent forms</t>
  </si>
  <si>
    <t xml:space="preserve">Yes (3 docs)</t>
  </si>
  <si>
    <t xml:space="preserve">02/10/2026</t>
  </si>
  <si>
    <t xml:space="preserve">RESOLVED</t>
  </si>
  <si>
    <t xml:space="preserve">02/12/2026</t>
  </si>
  <si>
    <t xml:space="preserve">Patient Complaint</t>
  </si>
  <si>
    <t xml:space="preserve">N/A (Anonymous)</t>
  </si>
  <si>
    <t xml:space="preserve">Data Residency Concern</t>
  </si>
  <si>
    <t xml:space="preserve">Patient inquired whether their data was stored overseas after seeing AI chatbot</t>
  </si>
  <si>
    <t xml:space="preserve">Provided patient with AI Transparency Notice; documented conversation in chart; no violation found</t>
  </si>
  <si>
    <t xml:space="preserve">Yes (1 doc)</t>
  </si>
  <si>
    <t xml:space="preserve">QUARTERLY AUDIT TRAIL</t>
  </si>
  <si>
    <t xml:space="preserve">Rolling Compliance Verification Record  |  [Practice Name]</t>
  </si>
  <si>
    <t xml:space="preserve">INSTRUCTIONS: Complete one row per quarter. This trail demonstrates ongoing compliance diligence — the single strongest element of Safe Harbor defense. "If it isn't in the ledger, it didn't happen."</t>
  </si>
  <si>
    <t xml:space="preserve">Quarter</t>
  </si>
  <si>
    <t xml:space="preserve">Audit Date</t>
  </si>
  <si>
    <t xml:space="preserve">Sentry Scan
Completed?</t>
  </si>
  <si>
    <t xml:space="preserve">Vendor Certs
All Current?</t>
  </si>
  <si>
    <t xml:space="preserve">Employee Acks
All Current?</t>
  </si>
  <si>
    <t xml:space="preserve">Website Disclosure
Verified?</t>
  </si>
  <si>
    <t xml:space="preserve">Issues Found</t>
  </si>
  <si>
    <t xml:space="preserve">Remediation Notes</t>
  </si>
  <si>
    <t xml:space="preserve">Auditor</t>
  </si>
  <si>
    <t xml:space="preserve">Q1 2026 (Jan-Mar)</t>
  </si>
  <si>
    <t xml:space="preserve">03/31/2026</t>
  </si>
  <si>
    <t xml:space="preserve">None</t>
  </si>
  <si>
    <t xml:space="preserve">Initial implementation complete. All vendors verified.</t>
  </si>
  <si>
    <t xml:space="preserve">[Name]</t>
  </si>
  <si>
    <t xml:space="preserve">Q2 2026 (Apr-Jun)</t>
  </si>
  <si>
    <t xml:space="preserve">Q3 2026 (Jul-Sep)</t>
  </si>
  <si>
    <t xml:space="preserve">Q4 2026 (Oct-Dec)</t>
  </si>
  <si>
    <t xml:space="preserve">Q1 2027 (Jan-Mar)</t>
  </si>
  <si>
    <t xml:space="preserve">Q2 2027 (Apr-Jun)</t>
  </si>
  <si>
    <t xml:space="preserve">Q3 2027 (Jul-Sep)</t>
  </si>
  <si>
    <t xml:space="preserve">Q4 2027 (Oct-Dec)</t>
  </si>
  <si>
    <t xml:space="preserve">SAFE HARBOR™ EVIDENCE LEDGER</t>
  </si>
  <si>
    <t xml:space="preserve">Instructions &amp; Quick Reference Guide</t>
  </si>
  <si>
    <t xml:space="preserve">WHAT IS THIS DOCUMENT?</t>
  </si>
  <si>
    <t xml:space="preserve">This Evidence Ledger is the operational backbone of your Safe Harbor™ compliance program. It documents every vendor, network endpoint, regulatory interaction, and quarterly audit — creating an irrefutable paper trail that proves "Reasonable Care" under Texas SB 1188.</t>
  </si>
  <si>
    <t xml:space="preserve">WHY IT MATTERS</t>
  </si>
  <si>
    <t xml:space="preserve">During a state inquiry or Cure Notice, this ledger is what you submit to demonstrate active compliance governance. Without it, your Data Sovereignty Policy is a signed piece of paper. With it, you have a living, auditable record of due diligence that can stop a $250,000 fine or a $2,500/day Cure Notice penalty.</t>
  </si>
  <si>
    <t xml:space="preserve">THE GOLDEN RULE</t>
  </si>
  <si>
    <t xml:space="preserve">"If it isn't in the ledger, it didn't happen." Every vendor verification, every audit result, every regulatory interaction MUST be logged here. Verbal confirmations are worthless without written documentation.</t>
  </si>
  <si>
    <t xml:space="preserve">TAB 1: DIGITAL SUPPLY CHAIN</t>
  </si>
  <si>
    <t xml:space="preserve">Document every vendor that touches patient data. Include their server location, verification proof, and sovereignty status. Send the Vendor Certification email template (from your AI Disclosure Kit) to every CRITICAL and HIGH tier vendor. Save their reply as a PDF and note it here.</t>
  </si>
  <si>
    <t xml:space="preserve">TAB 2: TECHNICAL RESIDENCY SIGNALS</t>
  </si>
  <si>
    <t xml:space="preserve">Track your network infrastructure — routers, VPNs, remote access points, CDN endpoints. This tab proves that no data is being routed through foreign proxies or offshore IT support. Your IT provider should assist with this tab.</t>
  </si>
  <si>
    <t xml:space="preserve">TAB 3: REGULATORY &amp; CURE NOTICE LOG</t>
  </si>
  <si>
    <t xml:space="preserve">Log ALL regulatory contact, patient complaints about data privacy, and any Cure Notices. Document your response, attach evidence, and track resolution. This is your "Active Defense" register.</t>
  </si>
  <si>
    <t xml:space="preserve">TAB 4: QUARTERLY AUDIT TRAIL</t>
  </si>
  <si>
    <t xml:space="preserve">Complete one row per quarter confirming that your Sentry Scan is clean, vendor certs are current, employee acknowledgments are signed, and your website disclosure is live. This rolling record is the strongest element of Safe Harbor defense.</t>
  </si>
  <si>
    <t xml:space="preserve">THE QUARTERLY SWEEP (Every 90 Days)</t>
  </si>
  <si>
    <t xml:space="preserve">1. Run a Sentry Watch scan at kairologic.com
2. Review all vendor entries — update any that have changed
3. Check for new employees needing acknowledgment forms
4. Verify website AI disclosure is still live
5. Log the audit in Tab 4
6. File the updated ledger in your compliance folder</t>
  </si>
  <si>
    <t xml:space="preserve">BURDEN OF PROOF</t>
  </si>
  <si>
    <t xml:space="preserve">In a Cure Notice scenario, the state gives you a window (typically 30 days) to prove compliance. This ledger, combined with your signed Data Sovereignty Policy, vendor certificates, and Sentry Scan reports, forms a complete evidentiary portfolio. Practices with this documentation have the strongest possible defense.</t>
  </si>
</sst>
</file>

<file path=xl/styles.xml><?xml version="1.0" encoding="utf-8"?>
<styleSheet xmlns="http://schemas.openxmlformats.org/spreadsheetml/2006/main">
  <numFmts count="2">
    <numFmt numFmtId="164" formatCode="General"/>
    <numFmt numFmtId="165" formatCode="General"/>
  </numFmts>
  <fonts count="22">
    <font>
      <sz val="11"/>
      <color theme="1"/>
      <name val="Calibri"/>
      <family val="2"/>
      <charset val="1"/>
    </font>
    <font>
      <sz val="10"/>
      <name val="Arial"/>
      <family val="0"/>
    </font>
    <font>
      <sz val="10"/>
      <name val="Arial"/>
      <family val="0"/>
    </font>
    <font>
      <sz val="10"/>
      <name val="Arial"/>
      <family val="0"/>
    </font>
    <font>
      <b val="true"/>
      <sz val="14"/>
      <color rgb="FF0B1E3D"/>
      <name val="Arial"/>
      <family val="0"/>
      <charset val="1"/>
    </font>
    <font>
      <sz val="10"/>
      <color rgb="FF6B7280"/>
      <name val="Arial"/>
      <family val="0"/>
      <charset val="1"/>
    </font>
    <font>
      <i val="true"/>
      <sz val="9"/>
      <color rgb="FF6B7280"/>
      <name val="Arial"/>
      <family val="0"/>
      <charset val="1"/>
    </font>
    <font>
      <b val="true"/>
      <sz val="10"/>
      <color rgb="FFFFFFFF"/>
      <name val="Arial"/>
      <family val="0"/>
      <charset val="1"/>
    </font>
    <font>
      <i val="true"/>
      <sz val="10"/>
      <color rgb="FF6B7280"/>
      <name val="Arial"/>
      <family val="0"/>
      <charset val="1"/>
    </font>
    <font>
      <b val="true"/>
      <sz val="10"/>
      <color rgb="FFDC2626"/>
      <name val="Arial"/>
      <family val="0"/>
      <charset val="1"/>
    </font>
    <font>
      <b val="true"/>
      <sz val="10"/>
      <color rgb="FF059669"/>
      <name val="Arial"/>
      <family val="0"/>
      <charset val="1"/>
    </font>
    <font>
      <b val="true"/>
      <sz val="10"/>
      <color rgb="FFD97706"/>
      <name val="Arial"/>
      <family val="0"/>
      <charset val="1"/>
    </font>
    <font>
      <sz val="10"/>
      <color rgb="FF374151"/>
      <name val="Arial"/>
      <family val="0"/>
      <charset val="1"/>
    </font>
    <font>
      <b val="true"/>
      <sz val="11"/>
      <color rgb="FF1A3A5F"/>
      <name val="Arial"/>
      <family val="0"/>
      <charset val="1"/>
    </font>
    <font>
      <b val="true"/>
      <sz val="10"/>
      <color rgb="FF0B1E3D"/>
      <name val="Arial"/>
      <family val="0"/>
      <charset val="1"/>
    </font>
    <font>
      <sz val="10"/>
      <color rgb="FF059669"/>
      <name val="Arial"/>
      <family val="0"/>
      <charset val="1"/>
    </font>
    <font>
      <sz val="10"/>
      <color rgb="FFD97706"/>
      <name val="Arial"/>
      <family val="0"/>
      <charset val="1"/>
    </font>
    <font>
      <sz val="10"/>
      <color rgb="FFDC2626"/>
      <name val="Arial"/>
      <family val="0"/>
      <charset val="1"/>
    </font>
    <font>
      <sz val="10"/>
      <color rgb="FF0B1E3D"/>
      <name val="Arial"/>
      <family val="0"/>
      <charset val="1"/>
    </font>
    <font>
      <b val="true"/>
      <sz val="16"/>
      <color rgb="FF0B1E3D"/>
      <name val="Arial"/>
      <family val="0"/>
      <charset val="1"/>
    </font>
    <font>
      <sz val="12"/>
      <color rgb="FF6B7280"/>
      <name val="Arial"/>
      <family val="0"/>
      <charset val="1"/>
    </font>
    <font>
      <b val="true"/>
      <sz val="11"/>
      <color rgb="FF0B1E3D"/>
      <name val="Arial"/>
      <family val="0"/>
      <charset val="1"/>
    </font>
  </fonts>
  <fills count="8">
    <fill>
      <patternFill patternType="none"/>
    </fill>
    <fill>
      <patternFill patternType="gray125"/>
    </fill>
    <fill>
      <patternFill patternType="solid">
        <fgColor rgb="FFD4A574"/>
        <bgColor rgb="FFB88F5F"/>
      </patternFill>
    </fill>
    <fill>
      <patternFill patternType="solid">
        <fgColor rgb="FF0B1E3D"/>
        <bgColor rgb="FF1A3A5F"/>
      </patternFill>
    </fill>
    <fill>
      <patternFill patternType="solid">
        <fgColor rgb="FFFFFFFF"/>
        <bgColor rgb="FFF9FAFB"/>
      </patternFill>
    </fill>
    <fill>
      <patternFill patternType="solid">
        <fgColor rgb="FFF0FDF4"/>
        <bgColor rgb="FFF9FAFB"/>
      </patternFill>
    </fill>
    <fill>
      <patternFill patternType="solid">
        <fgColor rgb="FFF9FAFB"/>
        <bgColor rgb="FFFFFFFF"/>
      </patternFill>
    </fill>
    <fill>
      <patternFill patternType="solid">
        <fgColor rgb="FFFFFBEB"/>
        <bgColor rgb="FFF9FAFB"/>
      </patternFill>
    </fill>
  </fills>
  <borders count="4">
    <border diagonalUp="false" diagonalDown="false">
      <left/>
      <right/>
      <top/>
      <bottom/>
      <diagonal/>
    </border>
    <border diagonalUp="false" diagonalDown="false">
      <left/>
      <right/>
      <top/>
      <bottom style="thin">
        <color rgb="FFB88F5F"/>
      </bottom>
      <diagonal/>
    </border>
    <border diagonalUp="false" diagonalDown="false">
      <left style="thin">
        <color rgb="FF1A3A5F"/>
      </left>
      <right style="thin">
        <color rgb="FF1A3A5F"/>
      </right>
      <top style="thin">
        <color rgb="FF1A3A5F"/>
      </top>
      <bottom style="medium">
        <color rgb="FFB88F5F"/>
      </bottom>
      <diagonal/>
    </border>
    <border diagonalUp="false" diagonalDown="false">
      <left style="thin">
        <color rgb="FFE5E7EB"/>
      </left>
      <right style="thin">
        <color rgb="FFE5E7EB"/>
      </right>
      <top style="thin">
        <color rgb="FFE5E7EB"/>
      </top>
      <bottom style="thin">
        <color rgb="FFE5E7E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4" fontId="7" fillId="3" borderId="2" xfId="0" applyFont="true" applyBorder="true" applyAlignment="true" applyProtection="false">
      <alignment horizontal="center" vertical="center" textRotation="0" wrapText="true" indent="0" shrinkToFit="false"/>
      <protection locked="true" hidden="false"/>
    </xf>
    <xf numFmtId="164" fontId="8" fillId="4" borderId="3" xfId="0" applyFont="true" applyBorder="true" applyAlignment="true" applyProtection="false">
      <alignment horizontal="general" vertical="center" textRotation="0" wrapText="true" indent="0" shrinkToFit="false"/>
      <protection locked="true" hidden="false"/>
    </xf>
    <xf numFmtId="164" fontId="9" fillId="4" borderId="3" xfId="0" applyFont="true" applyBorder="true" applyAlignment="true" applyProtection="false">
      <alignment horizontal="general" vertical="center" textRotation="0" wrapText="true" indent="0" shrinkToFit="false"/>
      <protection locked="true" hidden="false"/>
    </xf>
    <xf numFmtId="164" fontId="10" fillId="5" borderId="3" xfId="0" applyFont="true" applyBorder="true" applyAlignment="true" applyProtection="false">
      <alignment horizontal="general" vertical="center" textRotation="0" wrapText="true" indent="0" shrinkToFit="false"/>
      <protection locked="true" hidden="false"/>
    </xf>
    <xf numFmtId="164" fontId="8" fillId="6" borderId="3" xfId="0" applyFont="true" applyBorder="true" applyAlignment="true" applyProtection="false">
      <alignment horizontal="general" vertical="center" textRotation="0" wrapText="true" indent="0" shrinkToFit="false"/>
      <protection locked="true" hidden="false"/>
    </xf>
    <xf numFmtId="164" fontId="11" fillId="6" borderId="3" xfId="0" applyFont="true" applyBorder="true" applyAlignment="true" applyProtection="false">
      <alignment horizontal="general" vertical="center" textRotation="0" wrapText="true" indent="0" shrinkToFit="false"/>
      <protection locked="true" hidden="false"/>
    </xf>
    <xf numFmtId="164" fontId="9" fillId="6" borderId="3" xfId="0" applyFont="true" applyBorder="true" applyAlignment="true" applyProtection="false">
      <alignment horizontal="general" vertical="center" textRotation="0" wrapText="true" indent="0" shrinkToFit="false"/>
      <protection locked="true" hidden="false"/>
    </xf>
    <xf numFmtId="164" fontId="11" fillId="4" borderId="3" xfId="0" applyFont="true" applyBorder="true" applyAlignment="true" applyProtection="false">
      <alignment horizontal="general" vertical="center" textRotation="0" wrapText="true" indent="0" shrinkToFit="false"/>
      <protection locked="true" hidden="false"/>
    </xf>
    <xf numFmtId="164" fontId="12" fillId="4" borderId="3" xfId="0" applyFont="true" applyBorder="true" applyAlignment="true" applyProtection="false">
      <alignment horizontal="general" vertical="center" textRotation="0" wrapText="true" indent="0" shrinkToFit="false"/>
      <protection locked="true" hidden="false"/>
    </xf>
    <xf numFmtId="164" fontId="11" fillId="7" borderId="3" xfId="0" applyFont="true" applyBorder="true" applyAlignment="true" applyProtection="false">
      <alignment horizontal="general" vertical="center" textRotation="0" wrapText="true" indent="0" shrinkToFit="false"/>
      <protection locked="true" hidden="false"/>
    </xf>
    <xf numFmtId="164" fontId="12" fillId="6" borderId="3" xfId="0" applyFont="true" applyBorder="true" applyAlignment="true" applyProtection="false">
      <alignment horizontal="general" vertical="center" textRotation="0" wrapText="tru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5" fontId="14" fillId="0"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5" fontId="10" fillId="0"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5" fontId="11" fillId="0"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4" fontId="8" fillId="5" borderId="3" xfId="0" applyFont="true" applyBorder="true" applyAlignment="true" applyProtection="false">
      <alignment horizontal="general" vertical="center" textRotation="0" wrapText="tru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20" fillId="0"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21"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0">
    <dxf>
      <fill>
        <patternFill patternType="solid">
          <fgColor rgb="FF0B1E3D"/>
          <bgColor rgb="FF000000"/>
        </patternFill>
      </fill>
    </dxf>
    <dxf>
      <fill>
        <patternFill patternType="solid">
          <fgColor rgb="FFF9FAFB"/>
          <bgColor rgb="FF000000"/>
        </patternFill>
      </fill>
    </dxf>
    <dxf>
      <fill>
        <patternFill patternType="solid">
          <fgColor rgb="FFFFFFFF"/>
          <bgColor rgb="FF000000"/>
        </patternFill>
      </fill>
    </dxf>
    <dxf>
      <fill>
        <patternFill patternType="solid">
          <fgColor rgb="FF374151"/>
          <bgColor rgb="FF000000"/>
        </patternFill>
      </fill>
    </dxf>
    <dxf>
      <fill>
        <patternFill patternType="solid">
          <fgColor rgb="FF6B7280"/>
          <bgColor rgb="FF000000"/>
        </patternFill>
      </fill>
    </dxf>
    <dxf>
      <fill>
        <patternFill patternType="solid">
          <fgColor rgb="FFD97706"/>
          <bgColor rgb="FF000000"/>
        </patternFill>
      </fill>
    </dxf>
    <dxf>
      <fill>
        <patternFill patternType="solid">
          <fgColor rgb="FFDC2626"/>
          <bgColor rgb="FF000000"/>
        </patternFill>
      </fill>
    </dxf>
    <dxf>
      <fill>
        <patternFill patternType="solid">
          <fgColor rgb="FFF0FDF4"/>
          <bgColor rgb="FF000000"/>
        </patternFill>
      </fill>
    </dxf>
    <dxf>
      <fill>
        <patternFill patternType="solid">
          <fgColor rgb="FFFFFBEB"/>
          <bgColor rgb="FF000000"/>
        </patternFill>
      </fill>
    </dxf>
    <dxf>
      <fill>
        <patternFill patternType="solid">
          <fgColor rgb="FF059669"/>
          <bgColor rgb="FF000000"/>
        </patternFill>
      </fill>
    </dxf>
  </dxfs>
  <colors>
    <indexedColors>
      <rgbColor rgb="FF000000"/>
      <rgbColor rgb="FFFFFFFF"/>
      <rgbColor rgb="FFDC2626"/>
      <rgbColor rgb="FF00FF00"/>
      <rgbColor rgb="FF0000FF"/>
      <rgbColor rgb="FFFFFF00"/>
      <rgbColor rgb="FFFF00FF"/>
      <rgbColor rgb="FF00FFFF"/>
      <rgbColor rgb="FF800000"/>
      <rgbColor rgb="FF008000"/>
      <rgbColor rgb="FF000080"/>
      <rgbColor rgb="FF808000"/>
      <rgbColor rgb="FF800080"/>
      <rgbColor rgb="FF059669"/>
      <rgbColor rgb="FFD4A574"/>
      <rgbColor rgb="FF808080"/>
      <rgbColor rgb="FF9999FF"/>
      <rgbColor rgb="FF993366"/>
      <rgbColor rgb="FFFFFBEB"/>
      <rgbColor rgb="FFF0FDF4"/>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E5E7EB"/>
      <rgbColor rgb="FFF9FAFB"/>
      <rgbColor rgb="FFFFFF99"/>
      <rgbColor rgb="FF99CCFF"/>
      <rgbColor rgb="FFFF99CC"/>
      <rgbColor rgb="FFCC99FF"/>
      <rgbColor rgb="FFFFCC99"/>
      <rgbColor rgb="FF3366FF"/>
      <rgbColor rgb="FF33CCCC"/>
      <rgbColor rgb="FF99CC00"/>
      <rgbColor rgb="FFFFCC00"/>
      <rgbColor rgb="FFFF9900"/>
      <rgbColor rgb="FFD97706"/>
      <rgbColor rgb="FF6B7280"/>
      <rgbColor rgb="FFB88F5F"/>
      <rgbColor rgb="FF1A3A5F"/>
      <rgbColor rgb="FF339966"/>
      <rgbColor rgb="FF0B1E3D"/>
      <rgbColor rgb="FF333300"/>
      <rgbColor rgb="FF993300"/>
      <rgbColor rgb="FF993366"/>
      <rgbColor rgb="FF333399"/>
      <rgbColor rgb="FF374151"/>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E3D"/>
    <pageSetUpPr fitToPage="false"/>
  </sheetPr>
  <dimension ref="A1:K4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2"/>
    <col collapsed="false" customWidth="true" hidden="false" outlineLevel="0" max="3" min="3" style="0" width="24"/>
    <col collapsed="false" customWidth="true" hidden="false" outlineLevel="0" max="4" min="4" style="0" width="14"/>
    <col collapsed="false" customWidth="true" hidden="false" outlineLevel="0" max="5" min="5" style="0" width="12"/>
    <col collapsed="false" customWidth="true" hidden="false" outlineLevel="0" max="6" min="6" style="0" width="20"/>
    <col collapsed="false" customWidth="true" hidden="false" outlineLevel="0" max="8" min="7" style="0" width="16"/>
    <col collapsed="false" customWidth="true" hidden="false" outlineLevel="0" max="9" min="9" style="0" width="18"/>
    <col collapsed="false" customWidth="true" hidden="false" outlineLevel="0" max="11" min="10" style="0" width="16"/>
  </cols>
  <sheetData>
    <row r="1" customFormat="false" ht="17.35" hidden="false" customHeight="false" outlineLevel="0" collapsed="false">
      <c r="A1" s="1" t="s">
        <v>0</v>
      </c>
    </row>
    <row r="2" customFormat="false" ht="15" hidden="false" customHeight="false" outlineLevel="0" collapsed="false">
      <c r="A2" s="2" t="s">
        <v>1</v>
      </c>
    </row>
    <row r="3" customFormat="false" ht="3" hidden="false" customHeight="true" outlineLevel="0" collapsed="false">
      <c r="A3" s="3"/>
      <c r="B3" s="3"/>
      <c r="C3" s="3"/>
      <c r="D3" s="3"/>
      <c r="E3" s="3"/>
      <c r="F3" s="3"/>
      <c r="G3" s="3"/>
      <c r="H3" s="3"/>
      <c r="I3" s="3"/>
      <c r="J3" s="3"/>
      <c r="K3" s="3"/>
    </row>
    <row r="5" customFormat="false" ht="15" hidden="false" customHeight="false" outlineLevel="0" collapsed="false">
      <c r="A5" s="4" t="s">
        <v>2</v>
      </c>
      <c r="B5" s="4"/>
      <c r="C5" s="4"/>
      <c r="D5" s="4"/>
      <c r="E5" s="4"/>
      <c r="F5" s="4"/>
      <c r="G5" s="4"/>
      <c r="H5" s="4"/>
      <c r="I5" s="4"/>
      <c r="J5" s="4"/>
      <c r="K5" s="4"/>
    </row>
    <row r="7" customFormat="false" ht="23.85" hidden="false" customHeight="false" outlineLevel="0" collapsed="false">
      <c r="A7" s="5" t="s">
        <v>3</v>
      </c>
      <c r="B7" s="5" t="s">
        <v>4</v>
      </c>
      <c r="C7" s="5" t="s">
        <v>5</v>
      </c>
      <c r="D7" s="5" t="s">
        <v>6</v>
      </c>
      <c r="E7" s="5" t="s">
        <v>7</v>
      </c>
      <c r="F7" s="5" t="s">
        <v>8</v>
      </c>
      <c r="G7" s="5" t="s">
        <v>9</v>
      </c>
      <c r="H7" s="5" t="s">
        <v>10</v>
      </c>
      <c r="I7" s="5" t="s">
        <v>11</v>
      </c>
      <c r="J7" s="5" t="s">
        <v>12</v>
      </c>
      <c r="K7" s="5" t="s">
        <v>13</v>
      </c>
    </row>
    <row r="8" customFormat="false" ht="15" hidden="false" customHeight="false" outlineLevel="0" collapsed="false">
      <c r="A8" s="6" t="s">
        <v>14</v>
      </c>
      <c r="B8" s="6" t="s">
        <v>15</v>
      </c>
      <c r="C8" s="6" t="s">
        <v>16</v>
      </c>
      <c r="D8" s="7" t="s">
        <v>17</v>
      </c>
      <c r="E8" s="6" t="s">
        <v>18</v>
      </c>
      <c r="F8" s="6" t="s">
        <v>19</v>
      </c>
      <c r="G8" s="6" t="s">
        <v>20</v>
      </c>
      <c r="H8" s="6" t="s">
        <v>21</v>
      </c>
      <c r="I8" s="6" t="s">
        <v>22</v>
      </c>
      <c r="J8" s="6" t="s">
        <v>23</v>
      </c>
      <c r="K8" s="8" t="s">
        <v>24</v>
      </c>
    </row>
    <row r="9" customFormat="false" ht="23.85" hidden="false" customHeight="false" outlineLevel="0" collapsed="false">
      <c r="A9" s="9" t="s">
        <v>25</v>
      </c>
      <c r="B9" s="9" t="s">
        <v>26</v>
      </c>
      <c r="C9" s="9" t="s">
        <v>27</v>
      </c>
      <c r="D9" s="10" t="s">
        <v>28</v>
      </c>
      <c r="E9" s="9" t="s">
        <v>18</v>
      </c>
      <c r="F9" s="9" t="s">
        <v>29</v>
      </c>
      <c r="G9" s="9" t="s">
        <v>30</v>
      </c>
      <c r="H9" s="9" t="s">
        <v>31</v>
      </c>
      <c r="I9" s="9" t="s">
        <v>32</v>
      </c>
      <c r="J9" s="9" t="s">
        <v>23</v>
      </c>
      <c r="K9" s="8" t="s">
        <v>24</v>
      </c>
    </row>
    <row r="10" customFormat="false" ht="23.85" hidden="false" customHeight="false" outlineLevel="0" collapsed="false">
      <c r="A10" s="6" t="s">
        <v>33</v>
      </c>
      <c r="B10" s="6" t="s">
        <v>34</v>
      </c>
      <c r="C10" s="6" t="s">
        <v>35</v>
      </c>
      <c r="D10" s="6" t="s">
        <v>36</v>
      </c>
      <c r="E10" s="6" t="s">
        <v>37</v>
      </c>
      <c r="F10" s="6" t="s">
        <v>38</v>
      </c>
      <c r="G10" s="6" t="s">
        <v>20</v>
      </c>
      <c r="H10" s="6" t="s">
        <v>39</v>
      </c>
      <c r="I10" s="6" t="s">
        <v>40</v>
      </c>
      <c r="J10" s="6" t="s">
        <v>41</v>
      </c>
      <c r="K10" s="8" t="s">
        <v>24</v>
      </c>
    </row>
    <row r="11" customFormat="false" ht="23.85" hidden="false" customHeight="false" outlineLevel="0" collapsed="false">
      <c r="A11" s="9" t="s">
        <v>42</v>
      </c>
      <c r="B11" s="9" t="s">
        <v>43</v>
      </c>
      <c r="C11" s="9" t="s">
        <v>44</v>
      </c>
      <c r="D11" s="11" t="s">
        <v>17</v>
      </c>
      <c r="E11" s="9" t="s">
        <v>18</v>
      </c>
      <c r="F11" s="9" t="s">
        <v>45</v>
      </c>
      <c r="G11" s="9" t="s">
        <v>46</v>
      </c>
      <c r="H11" s="9" t="s">
        <v>47</v>
      </c>
      <c r="I11" s="9" t="s">
        <v>48</v>
      </c>
      <c r="J11" s="9" t="s">
        <v>23</v>
      </c>
      <c r="K11" s="8" t="s">
        <v>24</v>
      </c>
    </row>
    <row r="12" customFormat="false" ht="23.85" hidden="false" customHeight="false" outlineLevel="0" collapsed="false">
      <c r="A12" s="6" t="s">
        <v>49</v>
      </c>
      <c r="B12" s="6" t="s">
        <v>50</v>
      </c>
      <c r="C12" s="6" t="s">
        <v>51</v>
      </c>
      <c r="D12" s="7" t="s">
        <v>17</v>
      </c>
      <c r="E12" s="6" t="s">
        <v>18</v>
      </c>
      <c r="F12" s="6" t="s">
        <v>52</v>
      </c>
      <c r="G12" s="6" t="s">
        <v>20</v>
      </c>
      <c r="H12" s="6" t="s">
        <v>53</v>
      </c>
      <c r="I12" s="6" t="s">
        <v>54</v>
      </c>
      <c r="J12" s="6" t="s">
        <v>41</v>
      </c>
      <c r="K12" s="8" t="s">
        <v>24</v>
      </c>
    </row>
    <row r="13" customFormat="false" ht="23.85" hidden="false" customHeight="false" outlineLevel="0" collapsed="false">
      <c r="A13" s="9" t="s">
        <v>55</v>
      </c>
      <c r="B13" s="9" t="s">
        <v>56</v>
      </c>
      <c r="C13" s="9" t="s">
        <v>57</v>
      </c>
      <c r="D13" s="10" t="s">
        <v>28</v>
      </c>
      <c r="E13" s="9" t="s">
        <v>37</v>
      </c>
      <c r="F13" s="9" t="s">
        <v>58</v>
      </c>
      <c r="G13" s="9" t="s">
        <v>30</v>
      </c>
      <c r="H13" s="9" t="s">
        <v>59</v>
      </c>
      <c r="I13" s="9" t="s">
        <v>60</v>
      </c>
      <c r="J13" s="9" t="s">
        <v>61</v>
      </c>
      <c r="K13" s="8" t="s">
        <v>24</v>
      </c>
    </row>
    <row r="14" customFormat="false" ht="23.85" hidden="false" customHeight="false" outlineLevel="0" collapsed="false">
      <c r="A14" s="6" t="s">
        <v>62</v>
      </c>
      <c r="B14" s="6" t="s">
        <v>63</v>
      </c>
      <c r="C14" s="6" t="s">
        <v>64</v>
      </c>
      <c r="D14" s="12" t="s">
        <v>28</v>
      </c>
      <c r="E14" s="6" t="s">
        <v>18</v>
      </c>
      <c r="F14" s="6" t="s">
        <v>65</v>
      </c>
      <c r="G14" s="6" t="s">
        <v>66</v>
      </c>
      <c r="H14" s="6" t="s">
        <v>39</v>
      </c>
      <c r="I14" s="6" t="s">
        <v>67</v>
      </c>
      <c r="J14" s="6" t="s">
        <v>41</v>
      </c>
      <c r="K14" s="8" t="s">
        <v>24</v>
      </c>
    </row>
    <row r="15" customFormat="false" ht="15" hidden="false" customHeight="false" outlineLevel="0" collapsed="false">
      <c r="A15" s="9" t="s">
        <v>68</v>
      </c>
      <c r="B15" s="9" t="s">
        <v>69</v>
      </c>
      <c r="C15" s="9" t="s">
        <v>70</v>
      </c>
      <c r="D15" s="10" t="s">
        <v>28</v>
      </c>
      <c r="E15" s="9" t="s">
        <v>18</v>
      </c>
      <c r="F15" s="9" t="s">
        <v>71</v>
      </c>
      <c r="G15" s="9" t="s">
        <v>72</v>
      </c>
      <c r="H15" s="9" t="s">
        <v>73</v>
      </c>
      <c r="I15" s="9" t="s">
        <v>74</v>
      </c>
      <c r="J15" s="9" t="s">
        <v>23</v>
      </c>
      <c r="K15" s="8" t="s">
        <v>24</v>
      </c>
    </row>
    <row r="16" customFormat="false" ht="15" hidden="false" customHeight="false" outlineLevel="0" collapsed="false">
      <c r="A16" s="13" t="s">
        <v>75</v>
      </c>
      <c r="B16" s="13" t="s">
        <v>76</v>
      </c>
      <c r="C16" s="13" t="s">
        <v>77</v>
      </c>
      <c r="D16" s="13" t="s">
        <v>78</v>
      </c>
      <c r="E16" s="13" t="s">
        <v>79</v>
      </c>
      <c r="F16" s="13" t="s">
        <v>80</v>
      </c>
      <c r="G16" s="13" t="s">
        <v>81</v>
      </c>
      <c r="H16" s="13"/>
      <c r="I16" s="13"/>
      <c r="J16" s="13"/>
      <c r="K16" s="14" t="s">
        <v>82</v>
      </c>
    </row>
    <row r="17" customFormat="false" ht="15" hidden="false" customHeight="false" outlineLevel="0" collapsed="false">
      <c r="A17" s="15" t="s">
        <v>83</v>
      </c>
      <c r="B17" s="15"/>
      <c r="C17" s="15"/>
      <c r="D17" s="15"/>
      <c r="E17" s="15"/>
      <c r="F17" s="15"/>
      <c r="G17" s="15"/>
      <c r="H17" s="15"/>
      <c r="I17" s="15"/>
      <c r="J17" s="15"/>
      <c r="K17" s="15"/>
    </row>
    <row r="18" customFormat="false" ht="15" hidden="false" customHeight="false" outlineLevel="0" collapsed="false">
      <c r="A18" s="13" t="s">
        <v>84</v>
      </c>
      <c r="B18" s="13"/>
      <c r="C18" s="13"/>
      <c r="D18" s="13"/>
      <c r="E18" s="13"/>
      <c r="F18" s="13"/>
      <c r="G18" s="13"/>
      <c r="H18" s="13"/>
      <c r="I18" s="13"/>
      <c r="J18" s="13"/>
      <c r="K18" s="13"/>
    </row>
    <row r="19" customFormat="false" ht="15" hidden="false" customHeight="false" outlineLevel="0" collapsed="false">
      <c r="A19" s="15" t="s">
        <v>85</v>
      </c>
      <c r="B19" s="15"/>
      <c r="C19" s="15"/>
      <c r="D19" s="15"/>
      <c r="E19" s="15"/>
      <c r="F19" s="15"/>
      <c r="G19" s="15"/>
      <c r="H19" s="15"/>
      <c r="I19" s="15"/>
      <c r="J19" s="15"/>
      <c r="K19" s="15"/>
    </row>
    <row r="20" customFormat="false" ht="15" hidden="false" customHeight="false" outlineLevel="0" collapsed="false">
      <c r="A20" s="13" t="s">
        <v>86</v>
      </c>
      <c r="B20" s="13"/>
      <c r="C20" s="13"/>
      <c r="D20" s="13"/>
      <c r="E20" s="13"/>
      <c r="F20" s="13"/>
      <c r="G20" s="13"/>
      <c r="H20" s="13"/>
      <c r="I20" s="13"/>
      <c r="J20" s="13"/>
      <c r="K20" s="13"/>
    </row>
    <row r="21" customFormat="false" ht="15" hidden="false" customHeight="false" outlineLevel="0" collapsed="false">
      <c r="A21" s="15" t="s">
        <v>87</v>
      </c>
      <c r="B21" s="15"/>
      <c r="C21" s="15"/>
      <c r="D21" s="15"/>
      <c r="E21" s="15"/>
      <c r="F21" s="15"/>
      <c r="G21" s="15"/>
      <c r="H21" s="15"/>
      <c r="I21" s="15"/>
      <c r="J21" s="15"/>
      <c r="K21" s="15"/>
    </row>
    <row r="22" customFormat="false" ht="15" hidden="false" customHeight="false" outlineLevel="0" collapsed="false">
      <c r="A22" s="13" t="s">
        <v>88</v>
      </c>
      <c r="B22" s="13"/>
      <c r="C22" s="13"/>
      <c r="D22" s="13"/>
      <c r="E22" s="13"/>
      <c r="F22" s="13"/>
      <c r="G22" s="13"/>
      <c r="H22" s="13"/>
      <c r="I22" s="13"/>
      <c r="J22" s="13"/>
      <c r="K22" s="13"/>
    </row>
    <row r="23" customFormat="false" ht="15" hidden="false" customHeight="false" outlineLevel="0" collapsed="false">
      <c r="A23" s="15" t="s">
        <v>89</v>
      </c>
      <c r="B23" s="15"/>
      <c r="C23" s="15"/>
      <c r="D23" s="15"/>
      <c r="E23" s="15"/>
      <c r="F23" s="15"/>
      <c r="G23" s="15"/>
      <c r="H23" s="15"/>
      <c r="I23" s="15"/>
      <c r="J23" s="15"/>
      <c r="K23" s="15"/>
    </row>
    <row r="24" customFormat="false" ht="15" hidden="false" customHeight="false" outlineLevel="0" collapsed="false">
      <c r="A24" s="13" t="s">
        <v>90</v>
      </c>
      <c r="B24" s="13"/>
      <c r="C24" s="13"/>
      <c r="D24" s="13"/>
      <c r="E24" s="13"/>
      <c r="F24" s="13"/>
      <c r="G24" s="13"/>
      <c r="H24" s="13"/>
      <c r="I24" s="13"/>
      <c r="J24" s="13"/>
      <c r="K24" s="13"/>
    </row>
    <row r="25" customFormat="false" ht="15" hidden="false" customHeight="false" outlineLevel="0" collapsed="false">
      <c r="A25" s="15" t="s">
        <v>91</v>
      </c>
      <c r="B25" s="15"/>
      <c r="C25" s="15"/>
      <c r="D25" s="15"/>
      <c r="E25" s="15"/>
      <c r="F25" s="15"/>
      <c r="G25" s="15"/>
      <c r="H25" s="15"/>
      <c r="I25" s="15"/>
      <c r="J25" s="15"/>
      <c r="K25" s="15"/>
    </row>
    <row r="26" customFormat="false" ht="15" hidden="false" customHeight="false" outlineLevel="0" collapsed="false">
      <c r="A26" s="13" t="s">
        <v>92</v>
      </c>
      <c r="B26" s="13"/>
      <c r="C26" s="13"/>
      <c r="D26" s="13"/>
      <c r="E26" s="13"/>
      <c r="F26" s="13"/>
      <c r="G26" s="13"/>
      <c r="H26" s="13"/>
      <c r="I26" s="13"/>
      <c r="J26" s="13"/>
      <c r="K26" s="13"/>
    </row>
    <row r="27" customFormat="false" ht="15" hidden="false" customHeight="false" outlineLevel="0" collapsed="false">
      <c r="A27" s="15" t="s">
        <v>93</v>
      </c>
      <c r="B27" s="15"/>
      <c r="C27" s="15"/>
      <c r="D27" s="15"/>
      <c r="E27" s="15"/>
      <c r="F27" s="15"/>
      <c r="G27" s="15"/>
      <c r="H27" s="15"/>
      <c r="I27" s="15"/>
      <c r="J27" s="15"/>
      <c r="K27" s="15"/>
    </row>
    <row r="28" customFormat="false" ht="15" hidden="false" customHeight="false" outlineLevel="0" collapsed="false">
      <c r="A28" s="13" t="s">
        <v>94</v>
      </c>
      <c r="B28" s="13"/>
      <c r="C28" s="13"/>
      <c r="D28" s="13"/>
      <c r="E28" s="13"/>
      <c r="F28" s="13"/>
      <c r="G28" s="13"/>
      <c r="H28" s="13"/>
      <c r="I28" s="13"/>
      <c r="J28" s="13"/>
      <c r="K28" s="13"/>
    </row>
    <row r="29" customFormat="false" ht="15" hidden="false" customHeight="false" outlineLevel="0" collapsed="false">
      <c r="A29" s="15" t="s">
        <v>95</v>
      </c>
      <c r="B29" s="15"/>
      <c r="C29" s="15"/>
      <c r="D29" s="15"/>
      <c r="E29" s="15"/>
      <c r="F29" s="15"/>
      <c r="G29" s="15"/>
      <c r="H29" s="15"/>
      <c r="I29" s="15"/>
      <c r="J29" s="15"/>
      <c r="K29" s="15"/>
    </row>
    <row r="30" customFormat="false" ht="15" hidden="false" customHeight="false" outlineLevel="0" collapsed="false">
      <c r="A30" s="13" t="s">
        <v>96</v>
      </c>
      <c r="B30" s="13"/>
      <c r="C30" s="13"/>
      <c r="D30" s="13"/>
      <c r="E30" s="13"/>
      <c r="F30" s="13"/>
      <c r="G30" s="13"/>
      <c r="H30" s="13"/>
      <c r="I30" s="13"/>
      <c r="J30" s="13"/>
      <c r="K30" s="13"/>
    </row>
    <row r="31" customFormat="false" ht="15" hidden="false" customHeight="false" outlineLevel="0" collapsed="false">
      <c r="A31" s="15" t="s">
        <v>97</v>
      </c>
      <c r="B31" s="15"/>
      <c r="C31" s="15"/>
      <c r="D31" s="15"/>
      <c r="E31" s="15"/>
      <c r="F31" s="15"/>
      <c r="G31" s="15"/>
      <c r="H31" s="15"/>
      <c r="I31" s="15"/>
      <c r="J31" s="15"/>
      <c r="K31" s="15"/>
    </row>
    <row r="32" customFormat="false" ht="15" hidden="false" customHeight="false" outlineLevel="0" collapsed="false">
      <c r="A32" s="13" t="s">
        <v>98</v>
      </c>
      <c r="B32" s="13"/>
      <c r="C32" s="13"/>
      <c r="D32" s="13"/>
      <c r="E32" s="13"/>
      <c r="F32" s="13"/>
      <c r="G32" s="13"/>
      <c r="H32" s="13"/>
      <c r="I32" s="13"/>
      <c r="J32" s="13"/>
      <c r="K32" s="13"/>
    </row>
    <row r="33" customFormat="false" ht="15" hidden="false" customHeight="false" outlineLevel="0" collapsed="false">
      <c r="A33" s="15" t="s">
        <v>99</v>
      </c>
      <c r="B33" s="15"/>
      <c r="C33" s="15"/>
      <c r="D33" s="15"/>
      <c r="E33" s="15"/>
      <c r="F33" s="15"/>
      <c r="G33" s="15"/>
      <c r="H33" s="15"/>
      <c r="I33" s="15"/>
      <c r="J33" s="15"/>
      <c r="K33" s="15"/>
    </row>
    <row r="34" customFormat="false" ht="15" hidden="false" customHeight="false" outlineLevel="0" collapsed="false">
      <c r="A34" s="13" t="s">
        <v>100</v>
      </c>
      <c r="B34" s="13"/>
      <c r="C34" s="13"/>
      <c r="D34" s="13"/>
      <c r="E34" s="13"/>
      <c r="F34" s="13"/>
      <c r="G34" s="13"/>
      <c r="H34" s="13"/>
      <c r="I34" s="13"/>
      <c r="J34" s="13"/>
      <c r="K34" s="13"/>
    </row>
    <row r="35" customFormat="false" ht="15" hidden="false" customHeight="false" outlineLevel="0" collapsed="false">
      <c r="A35" s="15" t="s">
        <v>101</v>
      </c>
      <c r="B35" s="15"/>
      <c r="C35" s="15"/>
      <c r="D35" s="15"/>
      <c r="E35" s="15"/>
      <c r="F35" s="15"/>
      <c r="G35" s="15"/>
      <c r="H35" s="15"/>
      <c r="I35" s="15"/>
      <c r="J35" s="15"/>
      <c r="K35" s="15"/>
    </row>
    <row r="36" customFormat="false" ht="15" hidden="false" customHeight="false" outlineLevel="0" collapsed="false">
      <c r="A36" s="13" t="s">
        <v>102</v>
      </c>
      <c r="B36" s="13"/>
      <c r="C36" s="13"/>
      <c r="D36" s="13"/>
      <c r="E36" s="13"/>
      <c r="F36" s="13"/>
      <c r="G36" s="13"/>
      <c r="H36" s="13"/>
      <c r="I36" s="13"/>
      <c r="J36" s="13"/>
      <c r="K36" s="13"/>
    </row>
    <row r="37" customFormat="false" ht="15" hidden="false" customHeight="false" outlineLevel="0" collapsed="false">
      <c r="A37" s="15" t="s">
        <v>103</v>
      </c>
      <c r="B37" s="15"/>
      <c r="C37" s="15"/>
      <c r="D37" s="15"/>
      <c r="E37" s="15"/>
      <c r="F37" s="15"/>
      <c r="G37" s="15"/>
      <c r="H37" s="15"/>
      <c r="I37" s="15"/>
      <c r="J37" s="15"/>
      <c r="K37" s="15"/>
    </row>
    <row r="40" customFormat="false" ht="15" hidden="false" customHeight="false" outlineLevel="0" collapsed="false">
      <c r="A40" s="16" t="s">
        <v>104</v>
      </c>
    </row>
    <row r="41" customFormat="false" ht="15" hidden="false" customHeight="false" outlineLevel="0" collapsed="false">
      <c r="A41" s="17" t="s">
        <v>105</v>
      </c>
      <c r="C41" s="18" t="n">
        <f aca="false">COUNTA(B8:B37)-COUNTBLANK(B8:B37)</f>
        <v>-12</v>
      </c>
    </row>
    <row r="42" customFormat="false" ht="15" hidden="false" customHeight="false" outlineLevel="0" collapsed="false">
      <c r="A42" s="19" t="s">
        <v>106</v>
      </c>
      <c r="C42" s="20" t="n">
        <f aca="false">COUNTIF(K8:K37,"SOVEREIGN")</f>
        <v>8</v>
      </c>
    </row>
    <row r="43" customFormat="false" ht="15" hidden="false" customHeight="false" outlineLevel="0" collapsed="false">
      <c r="A43" s="21" t="s">
        <v>107</v>
      </c>
      <c r="C43" s="22" t="n">
        <f aca="false">COUNTIF(K8:K37,"PENDING")</f>
        <v>1</v>
      </c>
    </row>
    <row r="44" customFormat="false" ht="15" hidden="false" customHeight="false" outlineLevel="0" collapsed="false">
      <c r="A44" s="23" t="s">
        <v>108</v>
      </c>
      <c r="C44" s="24" t="n">
        <f aca="false">COUNTIF(K8:K37,"NON-COMPLIANT")+COUNTIF(K8:K37,"UNVERIFIED")</f>
        <v>0</v>
      </c>
    </row>
    <row r="46" customFormat="false" ht="15" hidden="false" customHeight="false" outlineLevel="0" collapsed="false">
      <c r="A46" s="2" t="s">
        <v>109</v>
      </c>
      <c r="C46" s="25" t="s">
        <v>110</v>
      </c>
    </row>
    <row r="47" customFormat="false" ht="15" hidden="false" customHeight="false" outlineLevel="0" collapsed="false">
      <c r="A47" s="2" t="s">
        <v>111</v>
      </c>
      <c r="C47" s="25" t="s">
        <v>112</v>
      </c>
    </row>
  </sheetData>
  <autoFilter ref="A7:K37"/>
  <mergeCells count="1">
    <mergeCell ref="A5:K5"/>
  </mergeCells>
  <dataValidations count="4">
    <dataValidation allowBlank="true" error="Select from list" errorStyle="stop" operator="between" prompt="Does this vendor access PHI?" showDropDown="false" showErrorMessage="false" showInputMessage="false" sqref="E8:E38" type="list">
      <formula1>"Yes,No (PII only),No,Pending Review"</formula1>
      <formula2>0</formula2>
    </dataValidation>
    <dataValidation allowBlank="true" errorStyle="stop" operator="between" showDropDown="false" showErrorMessage="false" showInputMessage="false" sqref="D8:D38" type="list">
      <formula1>"CRITICAL,HIGH,MODERATE,LOW"</formula1>
      <formula2>0</formula2>
    </dataValidation>
    <dataValidation allowBlank="true" errorStyle="stop" operator="between" showDropDown="false" showErrorMessage="false" showInputMessage="false" sqref="K8:K38" type="list">
      <formula1>"SOVEREIGN,PENDING,UNVERIFIED,NON-COMPLIANT,UNDER REVIEW"</formula1>
      <formula2>0</formula2>
    </dataValidation>
    <dataValidation allowBlank="true" errorStyle="stop" operator="between" showDropDown="false" showErrorMessage="false" showInputMessage="false" sqref="I8:I38" type="list">
      <formula1>"SOC 2 Type II Report,SOC 2 Type I Report,Vendor Certificate,BAA + Server Letter,DPA + Residency Cert,DNS/IP Geolocation Audit,Email Confirmation,TOS Review,NPI Audit,Contract Review,Pending"</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A3A5F"/>
    <pageSetUpPr fitToPage="false"/>
  </sheetPr>
  <dimension ref="A1:K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4"/>
    <col collapsed="false" customWidth="true" hidden="false" outlineLevel="0" max="3" min="3" style="0" width="20"/>
    <col collapsed="false" customWidth="true" hidden="false" outlineLevel="0" max="4" min="4" style="0" width="18"/>
    <col collapsed="false" customWidth="true" hidden="false" outlineLevel="0" max="5" min="5" style="0" width="20"/>
    <col collapsed="false" customWidth="true" hidden="false" outlineLevel="0" max="8" min="6" style="0" width="16"/>
    <col collapsed="false" customWidth="true" hidden="false" outlineLevel="0" max="9" min="9" style="0" width="22"/>
    <col collapsed="false" customWidth="true" hidden="false" outlineLevel="0" max="10" min="10" style="0" width="16"/>
  </cols>
  <sheetData>
    <row r="1" customFormat="false" ht="17.35" hidden="false" customHeight="false" outlineLevel="0" collapsed="false">
      <c r="A1" s="1" t="s">
        <v>113</v>
      </c>
    </row>
    <row r="2" customFormat="false" ht="15" hidden="false" customHeight="false" outlineLevel="0" collapsed="false">
      <c r="A2" s="2" t="s">
        <v>114</v>
      </c>
    </row>
    <row r="3" customFormat="false" ht="3" hidden="false" customHeight="true" outlineLevel="0" collapsed="false">
      <c r="A3" s="3"/>
      <c r="B3" s="3"/>
      <c r="C3" s="3"/>
      <c r="D3" s="3"/>
      <c r="E3" s="3"/>
      <c r="F3" s="3"/>
      <c r="G3" s="3"/>
      <c r="H3" s="3"/>
      <c r="I3" s="3"/>
      <c r="J3" s="3"/>
      <c r="K3" s="3"/>
    </row>
    <row r="5" customFormat="false" ht="15" hidden="false" customHeight="false" outlineLevel="0" collapsed="false">
      <c r="A5" s="4" t="s">
        <v>115</v>
      </c>
      <c r="B5" s="4"/>
      <c r="C5" s="4"/>
      <c r="D5" s="4"/>
      <c r="E5" s="4"/>
      <c r="F5" s="4"/>
      <c r="G5" s="4"/>
      <c r="H5" s="4"/>
      <c r="I5" s="4"/>
      <c r="J5" s="4"/>
    </row>
    <row r="7" customFormat="false" ht="23.85" hidden="false" customHeight="false" outlineLevel="0" collapsed="false">
      <c r="A7" s="5" t="s">
        <v>3</v>
      </c>
      <c r="B7" s="5" t="s">
        <v>116</v>
      </c>
      <c r="C7" s="5" t="s">
        <v>117</v>
      </c>
      <c r="D7" s="5" t="s">
        <v>118</v>
      </c>
      <c r="E7" s="5" t="s">
        <v>119</v>
      </c>
      <c r="F7" s="5" t="s">
        <v>120</v>
      </c>
      <c r="G7" s="5" t="s">
        <v>121</v>
      </c>
      <c r="H7" s="5" t="s">
        <v>12</v>
      </c>
      <c r="I7" s="5" t="s">
        <v>122</v>
      </c>
      <c r="J7" s="5" t="s">
        <v>13</v>
      </c>
    </row>
    <row r="8" customFormat="false" ht="15" hidden="false" customHeight="false" outlineLevel="0" collapsed="false">
      <c r="A8" s="6" t="s">
        <v>14</v>
      </c>
      <c r="B8" s="6" t="s">
        <v>123</v>
      </c>
      <c r="C8" s="6" t="s">
        <v>124</v>
      </c>
      <c r="D8" s="6" t="s">
        <v>125</v>
      </c>
      <c r="E8" s="6" t="s">
        <v>126</v>
      </c>
      <c r="F8" s="6" t="s">
        <v>127</v>
      </c>
      <c r="G8" s="6" t="s">
        <v>39</v>
      </c>
      <c r="H8" s="6" t="s">
        <v>61</v>
      </c>
      <c r="I8" s="26" t="s">
        <v>128</v>
      </c>
      <c r="J8" s="8" t="s">
        <v>24</v>
      </c>
    </row>
    <row r="9" customFormat="false" ht="15" hidden="false" customHeight="false" outlineLevel="0" collapsed="false">
      <c r="A9" s="9" t="s">
        <v>25</v>
      </c>
      <c r="B9" s="9" t="s">
        <v>129</v>
      </c>
      <c r="C9" s="9" t="s">
        <v>130</v>
      </c>
      <c r="D9" s="9" t="s">
        <v>131</v>
      </c>
      <c r="E9" s="9" t="s">
        <v>132</v>
      </c>
      <c r="F9" s="9" t="s">
        <v>133</v>
      </c>
      <c r="G9" s="9" t="s">
        <v>39</v>
      </c>
      <c r="H9" s="9" t="s">
        <v>61</v>
      </c>
      <c r="I9" s="26" t="s">
        <v>128</v>
      </c>
      <c r="J9" s="8" t="s">
        <v>24</v>
      </c>
    </row>
    <row r="10" customFormat="false" ht="15" hidden="false" customHeight="false" outlineLevel="0" collapsed="false">
      <c r="A10" s="6" t="s">
        <v>33</v>
      </c>
      <c r="B10" s="6" t="s">
        <v>134</v>
      </c>
      <c r="C10" s="6" t="s">
        <v>135</v>
      </c>
      <c r="D10" s="6" t="s">
        <v>136</v>
      </c>
      <c r="E10" s="6" t="s">
        <v>137</v>
      </c>
      <c r="F10" s="6" t="s">
        <v>138</v>
      </c>
      <c r="G10" s="6" t="s">
        <v>73</v>
      </c>
      <c r="H10" s="6" t="s">
        <v>23</v>
      </c>
      <c r="I10" s="26" t="s">
        <v>128</v>
      </c>
      <c r="J10" s="8" t="s">
        <v>24</v>
      </c>
    </row>
    <row r="11" customFormat="false" ht="23.85" hidden="false" customHeight="false" outlineLevel="0" collapsed="false">
      <c r="A11" s="9" t="s">
        <v>42</v>
      </c>
      <c r="B11" s="9" t="s">
        <v>139</v>
      </c>
      <c r="C11" s="9" t="s">
        <v>140</v>
      </c>
      <c r="D11" s="9" t="s">
        <v>141</v>
      </c>
      <c r="E11" s="9" t="s">
        <v>50</v>
      </c>
      <c r="F11" s="9" t="s">
        <v>142</v>
      </c>
      <c r="G11" s="9" t="s">
        <v>53</v>
      </c>
      <c r="H11" s="9" t="s">
        <v>41</v>
      </c>
      <c r="I11" s="26" t="s">
        <v>128</v>
      </c>
      <c r="J11" s="8" t="s">
        <v>24</v>
      </c>
    </row>
    <row r="12" customFormat="false" ht="15" hidden="false" customHeight="false" outlineLevel="0" collapsed="false">
      <c r="A12" s="6" t="s">
        <v>49</v>
      </c>
      <c r="B12" s="6" t="s">
        <v>143</v>
      </c>
      <c r="C12" s="6" t="s">
        <v>144</v>
      </c>
      <c r="D12" s="6" t="s">
        <v>145</v>
      </c>
      <c r="E12" s="6" t="s">
        <v>146</v>
      </c>
      <c r="F12" s="6" t="s">
        <v>147</v>
      </c>
      <c r="G12" s="6" t="s">
        <v>59</v>
      </c>
      <c r="H12" s="6" t="s">
        <v>61</v>
      </c>
      <c r="I12" s="26" t="s">
        <v>128</v>
      </c>
      <c r="J12" s="8" t="s">
        <v>24</v>
      </c>
    </row>
    <row r="13" customFormat="false" ht="15" hidden="false" customHeight="false" outlineLevel="0" collapsed="false">
      <c r="A13" s="9" t="s">
        <v>55</v>
      </c>
      <c r="B13" s="9" t="s">
        <v>148</v>
      </c>
      <c r="C13" s="9" t="s">
        <v>149</v>
      </c>
      <c r="D13" s="9" t="s">
        <v>125</v>
      </c>
      <c r="E13" s="9" t="s">
        <v>150</v>
      </c>
      <c r="F13" s="9" t="s">
        <v>151</v>
      </c>
      <c r="G13" s="9" t="s">
        <v>39</v>
      </c>
      <c r="H13" s="9" t="s">
        <v>61</v>
      </c>
      <c r="I13" s="26" t="s">
        <v>128</v>
      </c>
      <c r="J13" s="8" t="s">
        <v>24</v>
      </c>
    </row>
    <row r="14" customFormat="false" ht="15" hidden="false" customHeight="false" outlineLevel="0" collapsed="false">
      <c r="A14" s="6" t="s">
        <v>62</v>
      </c>
      <c r="B14" s="6" t="s">
        <v>152</v>
      </c>
      <c r="C14" s="6" t="s">
        <v>153</v>
      </c>
      <c r="D14" s="6" t="s">
        <v>141</v>
      </c>
      <c r="E14" s="6" t="s">
        <v>154</v>
      </c>
      <c r="F14" s="6" t="s">
        <v>155</v>
      </c>
      <c r="G14" s="6" t="s">
        <v>156</v>
      </c>
      <c r="H14" s="6" t="s">
        <v>61</v>
      </c>
      <c r="I14" s="26" t="s">
        <v>128</v>
      </c>
      <c r="J14" s="8" t="s">
        <v>24</v>
      </c>
    </row>
    <row r="15" customFormat="false" ht="15" hidden="false" customHeight="false" outlineLevel="0" collapsed="false">
      <c r="A15" s="15" t="s">
        <v>68</v>
      </c>
      <c r="B15" s="15"/>
      <c r="C15" s="15"/>
      <c r="D15" s="15"/>
      <c r="E15" s="15"/>
      <c r="F15" s="15"/>
      <c r="G15" s="15"/>
      <c r="H15" s="15"/>
      <c r="I15" s="15"/>
      <c r="J15" s="15"/>
    </row>
    <row r="16" customFormat="false" ht="15" hidden="false" customHeight="false" outlineLevel="0" collapsed="false">
      <c r="A16" s="13" t="s">
        <v>75</v>
      </c>
      <c r="B16" s="13"/>
      <c r="C16" s="13"/>
      <c r="D16" s="13"/>
      <c r="E16" s="13"/>
      <c r="F16" s="13"/>
      <c r="G16" s="13"/>
      <c r="H16" s="13"/>
      <c r="I16" s="13"/>
      <c r="J16" s="13"/>
    </row>
    <row r="17" customFormat="false" ht="15" hidden="false" customHeight="false" outlineLevel="0" collapsed="false">
      <c r="A17" s="15" t="s">
        <v>83</v>
      </c>
      <c r="B17" s="15"/>
      <c r="C17" s="15"/>
      <c r="D17" s="15"/>
      <c r="E17" s="15"/>
      <c r="F17" s="15"/>
      <c r="G17" s="15"/>
      <c r="H17" s="15"/>
      <c r="I17" s="15"/>
      <c r="J17" s="15"/>
    </row>
    <row r="18" customFormat="false" ht="15" hidden="false" customHeight="false" outlineLevel="0" collapsed="false">
      <c r="A18" s="13" t="s">
        <v>84</v>
      </c>
      <c r="B18" s="13"/>
      <c r="C18" s="13"/>
      <c r="D18" s="13"/>
      <c r="E18" s="13"/>
      <c r="F18" s="13"/>
      <c r="G18" s="13"/>
      <c r="H18" s="13"/>
      <c r="I18" s="13"/>
      <c r="J18" s="13"/>
    </row>
    <row r="19" customFormat="false" ht="15" hidden="false" customHeight="false" outlineLevel="0" collapsed="false">
      <c r="A19" s="15" t="s">
        <v>85</v>
      </c>
      <c r="B19" s="15"/>
      <c r="C19" s="15"/>
      <c r="D19" s="15"/>
      <c r="E19" s="15"/>
      <c r="F19" s="15"/>
      <c r="G19" s="15"/>
      <c r="H19" s="15"/>
      <c r="I19" s="15"/>
      <c r="J19" s="15"/>
    </row>
    <row r="20" customFormat="false" ht="15" hidden="false" customHeight="false" outlineLevel="0" collapsed="false">
      <c r="A20" s="13" t="s">
        <v>86</v>
      </c>
      <c r="B20" s="13"/>
      <c r="C20" s="13"/>
      <c r="D20" s="13"/>
      <c r="E20" s="13"/>
      <c r="F20" s="13"/>
      <c r="G20" s="13"/>
      <c r="H20" s="13"/>
      <c r="I20" s="13"/>
      <c r="J20" s="13"/>
    </row>
    <row r="21" customFormat="false" ht="15" hidden="false" customHeight="false" outlineLevel="0" collapsed="false">
      <c r="A21" s="15" t="s">
        <v>87</v>
      </c>
      <c r="B21" s="15"/>
      <c r="C21" s="15"/>
      <c r="D21" s="15"/>
      <c r="E21" s="15"/>
      <c r="F21" s="15"/>
      <c r="G21" s="15"/>
      <c r="H21" s="15"/>
      <c r="I21" s="15"/>
      <c r="J21" s="15"/>
    </row>
    <row r="22" customFormat="false" ht="15" hidden="false" customHeight="false" outlineLevel="0" collapsed="false">
      <c r="A22" s="13" t="s">
        <v>88</v>
      </c>
      <c r="B22" s="13"/>
      <c r="C22" s="13"/>
      <c r="D22" s="13"/>
      <c r="E22" s="13"/>
      <c r="F22" s="13"/>
      <c r="G22" s="13"/>
      <c r="H22" s="13"/>
      <c r="I22" s="13"/>
      <c r="J22" s="13"/>
    </row>
    <row r="23" customFormat="false" ht="15" hidden="false" customHeight="false" outlineLevel="0" collapsed="false">
      <c r="A23" s="15" t="s">
        <v>89</v>
      </c>
      <c r="B23" s="15"/>
      <c r="C23" s="15"/>
      <c r="D23" s="15"/>
      <c r="E23" s="15"/>
      <c r="F23" s="15"/>
      <c r="G23" s="15"/>
      <c r="H23" s="15"/>
      <c r="I23" s="15"/>
      <c r="J23" s="15"/>
    </row>
    <row r="24" customFormat="false" ht="15" hidden="false" customHeight="false" outlineLevel="0" collapsed="false">
      <c r="A24" s="13" t="s">
        <v>90</v>
      </c>
      <c r="B24" s="13"/>
      <c r="C24" s="13"/>
      <c r="D24" s="13"/>
      <c r="E24" s="13"/>
      <c r="F24" s="13"/>
      <c r="G24" s="13"/>
      <c r="H24" s="13"/>
      <c r="I24" s="13"/>
      <c r="J24" s="13"/>
    </row>
    <row r="25" customFormat="false" ht="15" hidden="false" customHeight="false" outlineLevel="0" collapsed="false">
      <c r="A25" s="15" t="s">
        <v>91</v>
      </c>
      <c r="B25" s="15"/>
      <c r="C25" s="15"/>
      <c r="D25" s="15"/>
      <c r="E25" s="15"/>
      <c r="F25" s="15"/>
      <c r="G25" s="15"/>
      <c r="H25" s="15"/>
      <c r="I25" s="15"/>
      <c r="J25" s="15"/>
    </row>
    <row r="26" customFormat="false" ht="15" hidden="false" customHeight="false" outlineLevel="0" collapsed="false">
      <c r="A26" s="13" t="s">
        <v>92</v>
      </c>
      <c r="B26" s="13"/>
      <c r="C26" s="13"/>
      <c r="D26" s="13"/>
      <c r="E26" s="13"/>
      <c r="F26" s="13"/>
      <c r="G26" s="13"/>
      <c r="H26" s="13"/>
      <c r="I26" s="13"/>
      <c r="J26" s="13"/>
    </row>
    <row r="27" customFormat="false" ht="15" hidden="false" customHeight="false" outlineLevel="0" collapsed="false">
      <c r="A27" s="15" t="s">
        <v>93</v>
      </c>
      <c r="B27" s="15"/>
      <c r="C27" s="15"/>
      <c r="D27" s="15"/>
      <c r="E27" s="15"/>
      <c r="F27" s="15"/>
      <c r="G27" s="15"/>
      <c r="H27" s="15"/>
      <c r="I27" s="15"/>
      <c r="J27" s="15"/>
    </row>
    <row r="28" customFormat="false" ht="15" hidden="false" customHeight="false" outlineLevel="0" collapsed="false">
      <c r="A28" s="13" t="s">
        <v>94</v>
      </c>
      <c r="B28" s="13"/>
      <c r="C28" s="13"/>
      <c r="D28" s="13"/>
      <c r="E28" s="13"/>
      <c r="F28" s="13"/>
      <c r="G28" s="13"/>
      <c r="H28" s="13"/>
      <c r="I28" s="13"/>
      <c r="J28" s="13"/>
    </row>
    <row r="29" customFormat="false" ht="15" hidden="false" customHeight="false" outlineLevel="0" collapsed="false">
      <c r="A29" s="15" t="s">
        <v>95</v>
      </c>
      <c r="B29" s="15"/>
      <c r="C29" s="15"/>
      <c r="D29" s="15"/>
      <c r="E29" s="15"/>
      <c r="F29" s="15"/>
      <c r="G29" s="15"/>
      <c r="H29" s="15"/>
      <c r="I29" s="15"/>
      <c r="J29" s="15"/>
    </row>
    <row r="30" customFormat="false" ht="15" hidden="false" customHeight="false" outlineLevel="0" collapsed="false">
      <c r="A30" s="13" t="s">
        <v>96</v>
      </c>
      <c r="B30" s="13"/>
      <c r="C30" s="13"/>
      <c r="D30" s="13"/>
      <c r="E30" s="13"/>
      <c r="F30" s="13"/>
      <c r="G30" s="13"/>
      <c r="H30" s="13"/>
      <c r="I30" s="13"/>
      <c r="J30" s="13"/>
    </row>
  </sheetData>
  <autoFilter ref="A7:J30"/>
  <mergeCells count="1">
    <mergeCell ref="A5:J5"/>
  </mergeCells>
  <dataValidations count="2">
    <dataValidation allowBlank="true" errorStyle="stop" operator="between" showDropDown="false" showErrorMessage="false" showInputMessage="false" sqref="I8:I31" type="list">
      <formula1>"No,Yes - Remediated,Yes - Under Investigation,Unknown"</formula1>
      <formula2>0</formula2>
    </dataValidation>
    <dataValidation allowBlank="true" errorStyle="stop" operator="between" showDropDown="false" showErrorMessage="false" showInputMessage="false" sqref="J8:J31" type="list">
      <formula1>"SOVEREIGN,PENDING,FLAGGED,NON-COMPLIANT"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88F5F"/>
    <pageSetUpPr fitToPage="false"/>
  </sheetPr>
  <dimension ref="A1:K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6"/>
    <col collapsed="false" customWidth="true" hidden="false" outlineLevel="0" max="3" min="3" style="0" width="22"/>
    <col collapsed="false" customWidth="true" hidden="false" outlineLevel="0" max="5" min="4" style="0" width="18"/>
    <col collapsed="false" customWidth="true" hidden="false" outlineLevel="0" max="7" min="6" style="0" width="30"/>
    <col collapsed="false" customWidth="true" hidden="false" outlineLevel="0" max="10" min="8" style="0" width="16"/>
  </cols>
  <sheetData>
    <row r="1" customFormat="false" ht="17.35" hidden="false" customHeight="false" outlineLevel="0" collapsed="false">
      <c r="A1" s="1" t="s">
        <v>157</v>
      </c>
    </row>
    <row r="2" customFormat="false" ht="15" hidden="false" customHeight="false" outlineLevel="0" collapsed="false">
      <c r="A2" s="2" t="s">
        <v>158</v>
      </c>
    </row>
    <row r="3" customFormat="false" ht="3" hidden="false" customHeight="true" outlineLevel="0" collapsed="false">
      <c r="A3" s="3"/>
      <c r="B3" s="3"/>
      <c r="C3" s="3"/>
      <c r="D3" s="3"/>
      <c r="E3" s="3"/>
      <c r="F3" s="3"/>
      <c r="G3" s="3"/>
      <c r="H3" s="3"/>
      <c r="I3" s="3"/>
      <c r="J3" s="3"/>
      <c r="K3" s="3"/>
    </row>
    <row r="5" customFormat="false" ht="15" hidden="false" customHeight="false" outlineLevel="0" collapsed="false">
      <c r="A5" s="4" t="s">
        <v>159</v>
      </c>
      <c r="B5" s="4"/>
      <c r="C5" s="4"/>
      <c r="D5" s="4"/>
      <c r="E5" s="4"/>
      <c r="F5" s="4"/>
      <c r="G5" s="4"/>
      <c r="H5" s="4"/>
      <c r="I5" s="4"/>
      <c r="J5" s="4"/>
    </row>
    <row r="7" customFormat="false" ht="23.85" hidden="false" customHeight="false" outlineLevel="0" collapsed="false">
      <c r="A7" s="5" t="s">
        <v>3</v>
      </c>
      <c r="B7" s="5" t="s">
        <v>160</v>
      </c>
      <c r="C7" s="5" t="s">
        <v>161</v>
      </c>
      <c r="D7" s="5" t="s">
        <v>162</v>
      </c>
      <c r="E7" s="5" t="s">
        <v>163</v>
      </c>
      <c r="F7" s="5" t="s">
        <v>164</v>
      </c>
      <c r="G7" s="5" t="s">
        <v>165</v>
      </c>
      <c r="H7" s="5" t="s">
        <v>166</v>
      </c>
      <c r="I7" s="5" t="s">
        <v>167</v>
      </c>
      <c r="J7" s="5" t="s">
        <v>13</v>
      </c>
    </row>
    <row r="8" customFormat="false" ht="35.05" hidden="false" customHeight="false" outlineLevel="0" collapsed="false">
      <c r="A8" s="6" t="s">
        <v>14</v>
      </c>
      <c r="B8" s="6" t="s">
        <v>168</v>
      </c>
      <c r="C8" s="6" t="s">
        <v>169</v>
      </c>
      <c r="D8" s="6" t="s">
        <v>170</v>
      </c>
      <c r="E8" s="6" t="s">
        <v>171</v>
      </c>
      <c r="F8" s="6" t="s">
        <v>172</v>
      </c>
      <c r="G8" s="6" t="s">
        <v>173</v>
      </c>
      <c r="H8" s="6" t="s">
        <v>174</v>
      </c>
      <c r="I8" s="6" t="s">
        <v>175</v>
      </c>
      <c r="J8" s="8" t="s">
        <v>176</v>
      </c>
    </row>
    <row r="9" customFormat="false" ht="46.25" hidden="false" customHeight="false" outlineLevel="0" collapsed="false">
      <c r="A9" s="9" t="s">
        <v>25</v>
      </c>
      <c r="B9" s="9" t="s">
        <v>177</v>
      </c>
      <c r="C9" s="9" t="s">
        <v>178</v>
      </c>
      <c r="D9" s="9" t="s">
        <v>179</v>
      </c>
      <c r="E9" s="9" t="s">
        <v>180</v>
      </c>
      <c r="F9" s="9" t="s">
        <v>181</v>
      </c>
      <c r="G9" s="9" t="s">
        <v>182</v>
      </c>
      <c r="H9" s="9" t="s">
        <v>183</v>
      </c>
      <c r="I9" s="9" t="s">
        <v>177</v>
      </c>
      <c r="J9" s="8" t="s">
        <v>176</v>
      </c>
    </row>
    <row r="10" customFormat="false" ht="15" hidden="false" customHeight="false" outlineLevel="0" collapsed="false">
      <c r="A10" s="13" t="s">
        <v>33</v>
      </c>
      <c r="B10" s="13"/>
      <c r="C10" s="13"/>
      <c r="D10" s="13"/>
      <c r="E10" s="13"/>
      <c r="F10" s="13"/>
      <c r="G10" s="13"/>
      <c r="H10" s="13"/>
      <c r="I10" s="13"/>
      <c r="J10" s="13"/>
    </row>
    <row r="11" customFormat="false" ht="15" hidden="false" customHeight="false" outlineLevel="0" collapsed="false">
      <c r="A11" s="13" t="s">
        <v>42</v>
      </c>
      <c r="B11" s="13"/>
      <c r="C11" s="13"/>
      <c r="D11" s="13"/>
      <c r="E11" s="13"/>
      <c r="F11" s="13"/>
      <c r="G11" s="13"/>
      <c r="H11" s="13"/>
      <c r="I11" s="13"/>
      <c r="J11" s="13"/>
    </row>
    <row r="12" customFormat="false" ht="15" hidden="false" customHeight="false" outlineLevel="0" collapsed="false">
      <c r="A12" s="15" t="s">
        <v>49</v>
      </c>
      <c r="B12" s="15"/>
      <c r="C12" s="15"/>
      <c r="D12" s="15"/>
      <c r="E12" s="15"/>
      <c r="F12" s="15"/>
      <c r="G12" s="15"/>
      <c r="H12" s="15"/>
      <c r="I12" s="15"/>
      <c r="J12" s="15"/>
    </row>
    <row r="13" customFormat="false" ht="15" hidden="false" customHeight="false" outlineLevel="0" collapsed="false">
      <c r="A13" s="13" t="s">
        <v>55</v>
      </c>
      <c r="B13" s="13"/>
      <c r="C13" s="13"/>
      <c r="D13" s="13"/>
      <c r="E13" s="13"/>
      <c r="F13" s="13"/>
      <c r="G13" s="13"/>
      <c r="H13" s="13"/>
      <c r="I13" s="13"/>
      <c r="J13" s="13"/>
    </row>
    <row r="14" customFormat="false" ht="15" hidden="false" customHeight="false" outlineLevel="0" collapsed="false">
      <c r="A14" s="15" t="s">
        <v>62</v>
      </c>
      <c r="B14" s="15"/>
      <c r="C14" s="15"/>
      <c r="D14" s="15"/>
      <c r="E14" s="15"/>
      <c r="F14" s="15"/>
      <c r="G14" s="15"/>
      <c r="H14" s="15"/>
      <c r="I14" s="15"/>
      <c r="J14" s="15"/>
    </row>
    <row r="15" customFormat="false" ht="15" hidden="false" customHeight="false" outlineLevel="0" collapsed="false">
      <c r="A15" s="13" t="s">
        <v>68</v>
      </c>
      <c r="B15" s="13"/>
      <c r="C15" s="13"/>
      <c r="D15" s="13"/>
      <c r="E15" s="13"/>
      <c r="F15" s="13"/>
      <c r="G15" s="13"/>
      <c r="H15" s="13"/>
      <c r="I15" s="13"/>
      <c r="J15" s="13"/>
    </row>
    <row r="16" customFormat="false" ht="15" hidden="false" customHeight="false" outlineLevel="0" collapsed="false">
      <c r="A16" s="15" t="s">
        <v>75</v>
      </c>
      <c r="B16" s="15"/>
      <c r="C16" s="15"/>
      <c r="D16" s="15"/>
      <c r="E16" s="15"/>
      <c r="F16" s="15"/>
      <c r="G16" s="15"/>
      <c r="H16" s="15"/>
      <c r="I16" s="15"/>
      <c r="J16" s="15"/>
    </row>
    <row r="17" customFormat="false" ht="15" hidden="false" customHeight="false" outlineLevel="0" collapsed="false">
      <c r="A17" s="13" t="s">
        <v>83</v>
      </c>
      <c r="B17" s="13"/>
      <c r="C17" s="13"/>
      <c r="D17" s="13"/>
      <c r="E17" s="13"/>
      <c r="F17" s="13"/>
      <c r="G17" s="13"/>
      <c r="H17" s="13"/>
      <c r="I17" s="13"/>
      <c r="J17" s="13"/>
    </row>
    <row r="18" customFormat="false" ht="15" hidden="false" customHeight="false" outlineLevel="0" collapsed="false">
      <c r="A18" s="15" t="s">
        <v>84</v>
      </c>
      <c r="B18" s="15"/>
      <c r="C18" s="15"/>
      <c r="D18" s="15"/>
      <c r="E18" s="15"/>
      <c r="F18" s="15"/>
      <c r="G18" s="15"/>
      <c r="H18" s="15"/>
      <c r="I18" s="15"/>
      <c r="J18" s="15"/>
    </row>
    <row r="19" customFormat="false" ht="15" hidden="false" customHeight="false" outlineLevel="0" collapsed="false">
      <c r="A19" s="13" t="s">
        <v>85</v>
      </c>
      <c r="B19" s="13"/>
      <c r="C19" s="13"/>
      <c r="D19" s="13"/>
      <c r="E19" s="13"/>
      <c r="F19" s="13"/>
      <c r="G19" s="13"/>
      <c r="H19" s="13"/>
      <c r="I19" s="13"/>
      <c r="J19" s="13"/>
    </row>
    <row r="20" customFormat="false" ht="15" hidden="false" customHeight="false" outlineLevel="0" collapsed="false">
      <c r="A20" s="15" t="s">
        <v>86</v>
      </c>
      <c r="B20" s="15"/>
      <c r="C20" s="15"/>
      <c r="D20" s="15"/>
      <c r="E20" s="15"/>
      <c r="F20" s="15"/>
      <c r="G20" s="15"/>
      <c r="H20" s="15"/>
      <c r="I20" s="15"/>
      <c r="J20" s="15"/>
    </row>
    <row r="21" customFormat="false" ht="15" hidden="false" customHeight="false" outlineLevel="0" collapsed="false">
      <c r="A21" s="13" t="s">
        <v>87</v>
      </c>
      <c r="B21" s="13"/>
      <c r="C21" s="13"/>
      <c r="D21" s="13"/>
      <c r="E21" s="13"/>
      <c r="F21" s="13"/>
      <c r="G21" s="13"/>
      <c r="H21" s="13"/>
      <c r="I21" s="13"/>
      <c r="J21" s="13"/>
    </row>
    <row r="22" customFormat="false" ht="15" hidden="false" customHeight="false" outlineLevel="0" collapsed="false">
      <c r="A22" s="15" t="s">
        <v>88</v>
      </c>
      <c r="B22" s="15"/>
      <c r="C22" s="15"/>
      <c r="D22" s="15"/>
      <c r="E22" s="15"/>
      <c r="F22" s="15"/>
      <c r="G22" s="15"/>
      <c r="H22" s="15"/>
      <c r="I22" s="15"/>
      <c r="J22" s="15"/>
    </row>
    <row r="23" customFormat="false" ht="15" hidden="false" customHeight="false" outlineLevel="0" collapsed="false">
      <c r="A23" s="13" t="s">
        <v>89</v>
      </c>
      <c r="B23" s="13"/>
      <c r="C23" s="13"/>
      <c r="D23" s="13"/>
      <c r="E23" s="13"/>
      <c r="F23" s="13"/>
      <c r="G23" s="13"/>
      <c r="H23" s="13"/>
      <c r="I23" s="13"/>
      <c r="J23" s="13"/>
    </row>
    <row r="24" customFormat="false" ht="15" hidden="false" customHeight="false" outlineLevel="0" collapsed="false">
      <c r="A24" s="15" t="s">
        <v>90</v>
      </c>
      <c r="B24" s="15"/>
      <c r="C24" s="15"/>
      <c r="D24" s="15"/>
      <c r="E24" s="15"/>
      <c r="F24" s="15"/>
      <c r="G24" s="15"/>
      <c r="H24" s="15"/>
      <c r="I24" s="15"/>
      <c r="J24" s="15"/>
    </row>
    <row r="25" customFormat="false" ht="15" hidden="false" customHeight="false" outlineLevel="0" collapsed="false">
      <c r="A25" s="13" t="s">
        <v>91</v>
      </c>
      <c r="B25" s="13"/>
      <c r="C25" s="13"/>
      <c r="D25" s="13"/>
      <c r="E25" s="13"/>
      <c r="F25" s="13"/>
      <c r="G25" s="13"/>
      <c r="H25" s="13"/>
      <c r="I25" s="13"/>
      <c r="J25" s="13"/>
    </row>
    <row r="26" customFormat="false" ht="15" hidden="false" customHeight="false" outlineLevel="0" collapsed="false">
      <c r="A26" s="15" t="s">
        <v>92</v>
      </c>
      <c r="B26" s="15"/>
      <c r="C26" s="15"/>
      <c r="D26" s="15"/>
      <c r="E26" s="15"/>
      <c r="F26" s="15"/>
      <c r="G26" s="15"/>
      <c r="H26" s="15"/>
      <c r="I26" s="15"/>
      <c r="J26" s="15"/>
    </row>
    <row r="27" customFormat="false" ht="15" hidden="false" customHeight="false" outlineLevel="0" collapsed="false">
      <c r="A27" s="13" t="s">
        <v>93</v>
      </c>
      <c r="B27" s="13"/>
      <c r="C27" s="13"/>
      <c r="D27" s="13"/>
      <c r="E27" s="13"/>
      <c r="F27" s="13"/>
      <c r="G27" s="13"/>
      <c r="H27" s="13"/>
      <c r="I27" s="13"/>
      <c r="J27" s="13"/>
    </row>
    <row r="28" customFormat="false" ht="15" hidden="false" customHeight="false" outlineLevel="0" collapsed="false">
      <c r="A28" s="15" t="s">
        <v>94</v>
      </c>
      <c r="B28" s="15"/>
      <c r="C28" s="15"/>
      <c r="D28" s="15"/>
      <c r="E28" s="15"/>
      <c r="F28" s="15"/>
      <c r="G28" s="15"/>
      <c r="H28" s="15"/>
      <c r="I28" s="15"/>
      <c r="J28" s="15"/>
    </row>
    <row r="29" customFormat="false" ht="15" hidden="false" customHeight="false" outlineLevel="0" collapsed="false">
      <c r="A29" s="13" t="s">
        <v>95</v>
      </c>
      <c r="B29" s="13"/>
      <c r="C29" s="13"/>
      <c r="D29" s="13"/>
      <c r="E29" s="13"/>
      <c r="F29" s="13"/>
      <c r="G29" s="13"/>
      <c r="H29" s="13"/>
      <c r="I29" s="13"/>
      <c r="J29" s="13"/>
    </row>
    <row r="30" customFormat="false" ht="15" hidden="false" customHeight="false" outlineLevel="0" collapsed="false">
      <c r="A30" s="15" t="s">
        <v>96</v>
      </c>
      <c r="B30" s="15"/>
      <c r="C30" s="15"/>
      <c r="D30" s="15"/>
      <c r="E30" s="15"/>
      <c r="F30" s="15"/>
      <c r="G30" s="15"/>
      <c r="H30" s="15"/>
      <c r="I30" s="15"/>
      <c r="J30" s="15"/>
    </row>
  </sheetData>
  <autoFilter ref="A7:J30"/>
  <mergeCells count="1">
    <mergeCell ref="A5:J5"/>
  </mergeCells>
  <dataValidations count="3">
    <dataValidation allowBlank="true" errorStyle="stop" operator="between" showDropDown="false" showErrorMessage="false" showInputMessage="false" sqref="E8:E31" type="list">
      <formula1>"AI Transparency Inquiry,Data Residency Inquiry,Cure Notice,State Audit,Patient Complaint,Vendor Non-Compliance,HIPAA Breach Report,Internal Incident,Other"</formula1>
      <formula2>0</formula2>
    </dataValidation>
    <dataValidation allowBlank="true" errorStyle="stop" operator="between" showDropDown="false" showErrorMessage="false" showInputMessage="false" sqref="J8:J31" type="list">
      <formula1>"RESOLVED,OPEN - In Progress,OPEN - Awaiting Response,ESCALATED,PENDING CURE"</formula1>
      <formula2>0</formula2>
    </dataValidation>
    <dataValidation allowBlank="true" errorStyle="stop" operator="between" showDropDown="false" showErrorMessage="false" showInputMessage="false" sqref="H8:H31" type="list">
      <formula1>"Yes (attached),Yes (on file),Pending,No,N/A"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59669"/>
    <pageSetUpPr fitToPage="false"/>
  </sheetPr>
  <dimension ref="A1:K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14"/>
    <col collapsed="false" customWidth="true" hidden="false" outlineLevel="0" max="5" min="3" style="0" width="16"/>
    <col collapsed="false" customWidth="true" hidden="false" outlineLevel="0" max="6" min="6" style="0" width="18"/>
    <col collapsed="false" customWidth="true" hidden="false" outlineLevel="0" max="7" min="7" style="0" width="24"/>
    <col collapsed="false" customWidth="true" hidden="false" outlineLevel="0" max="8" min="8" style="0" width="30"/>
    <col collapsed="false" customWidth="true" hidden="false" outlineLevel="0" max="9" min="9" style="0" width="16"/>
  </cols>
  <sheetData>
    <row r="1" customFormat="false" ht="17.35" hidden="false" customHeight="false" outlineLevel="0" collapsed="false">
      <c r="A1" s="1" t="s">
        <v>184</v>
      </c>
    </row>
    <row r="2" customFormat="false" ht="15" hidden="false" customHeight="false" outlineLevel="0" collapsed="false">
      <c r="A2" s="2" t="s">
        <v>185</v>
      </c>
    </row>
    <row r="3" customFormat="false" ht="3" hidden="false" customHeight="true" outlineLevel="0" collapsed="false">
      <c r="A3" s="3"/>
      <c r="B3" s="3"/>
      <c r="C3" s="3"/>
      <c r="D3" s="3"/>
      <c r="E3" s="3"/>
      <c r="F3" s="3"/>
      <c r="G3" s="3"/>
      <c r="H3" s="3"/>
      <c r="I3" s="3"/>
      <c r="J3" s="3"/>
      <c r="K3" s="3"/>
    </row>
    <row r="5" customFormat="false" ht="15" hidden="false" customHeight="false" outlineLevel="0" collapsed="false">
      <c r="A5" s="4" t="s">
        <v>186</v>
      </c>
      <c r="B5" s="4"/>
      <c r="C5" s="4"/>
      <c r="D5" s="4"/>
      <c r="E5" s="4"/>
      <c r="F5" s="4"/>
      <c r="G5" s="4"/>
      <c r="H5" s="4"/>
      <c r="I5" s="4"/>
    </row>
    <row r="7" customFormat="false" ht="23.85" hidden="false" customHeight="false" outlineLevel="0" collapsed="false">
      <c r="A7" s="5" t="s">
        <v>187</v>
      </c>
      <c r="B7" s="5" t="s">
        <v>188</v>
      </c>
      <c r="C7" s="5" t="s">
        <v>189</v>
      </c>
      <c r="D7" s="5" t="s">
        <v>190</v>
      </c>
      <c r="E7" s="5" t="s">
        <v>191</v>
      </c>
      <c r="F7" s="5" t="s">
        <v>192</v>
      </c>
      <c r="G7" s="5" t="s">
        <v>193</v>
      </c>
      <c r="H7" s="5" t="s">
        <v>194</v>
      </c>
      <c r="I7" s="5" t="s">
        <v>195</v>
      </c>
    </row>
    <row r="8" customFormat="false" ht="23.85" hidden="false" customHeight="false" outlineLevel="0" collapsed="false">
      <c r="A8" s="6" t="s">
        <v>196</v>
      </c>
      <c r="B8" s="6" t="s">
        <v>197</v>
      </c>
      <c r="C8" s="8" t="s">
        <v>18</v>
      </c>
      <c r="D8" s="8" t="s">
        <v>18</v>
      </c>
      <c r="E8" s="8" t="s">
        <v>18</v>
      </c>
      <c r="F8" s="8" t="s">
        <v>18</v>
      </c>
      <c r="G8" s="6" t="s">
        <v>198</v>
      </c>
      <c r="H8" s="6" t="s">
        <v>199</v>
      </c>
      <c r="I8" s="6" t="s">
        <v>200</v>
      </c>
    </row>
    <row r="9" customFormat="false" ht="23.85" hidden="false" customHeight="false" outlineLevel="0" collapsed="false">
      <c r="A9" s="15" t="s">
        <v>201</v>
      </c>
      <c r="B9" s="15"/>
      <c r="C9" s="15"/>
      <c r="D9" s="15"/>
      <c r="E9" s="15"/>
      <c r="F9" s="15"/>
      <c r="G9" s="15"/>
      <c r="H9" s="15"/>
      <c r="I9" s="15"/>
    </row>
    <row r="10" customFormat="false" ht="23.85" hidden="false" customHeight="false" outlineLevel="0" collapsed="false">
      <c r="A10" s="13" t="s">
        <v>202</v>
      </c>
      <c r="B10" s="13"/>
      <c r="C10" s="13"/>
      <c r="D10" s="13"/>
      <c r="E10" s="13"/>
      <c r="F10" s="13"/>
      <c r="G10" s="13"/>
      <c r="H10" s="13"/>
      <c r="I10" s="13"/>
    </row>
    <row r="11" customFormat="false" ht="23.85" hidden="false" customHeight="false" outlineLevel="0" collapsed="false">
      <c r="A11" s="15" t="s">
        <v>203</v>
      </c>
      <c r="B11" s="15"/>
      <c r="C11" s="15"/>
      <c r="D11" s="15"/>
      <c r="E11" s="15"/>
      <c r="F11" s="15"/>
      <c r="G11" s="15"/>
      <c r="H11" s="15"/>
      <c r="I11" s="15"/>
    </row>
    <row r="12" customFormat="false" ht="23.85" hidden="false" customHeight="false" outlineLevel="0" collapsed="false">
      <c r="A12" s="13" t="s">
        <v>204</v>
      </c>
      <c r="B12" s="13"/>
      <c r="C12" s="13"/>
      <c r="D12" s="13"/>
      <c r="E12" s="13"/>
      <c r="F12" s="13"/>
      <c r="G12" s="13"/>
      <c r="H12" s="13"/>
      <c r="I12" s="13"/>
    </row>
    <row r="13" customFormat="false" ht="23.85" hidden="false" customHeight="false" outlineLevel="0" collapsed="false">
      <c r="A13" s="15" t="s">
        <v>205</v>
      </c>
      <c r="B13" s="15"/>
      <c r="C13" s="15"/>
      <c r="D13" s="15"/>
      <c r="E13" s="15"/>
      <c r="F13" s="15"/>
      <c r="G13" s="15"/>
      <c r="H13" s="15"/>
      <c r="I13" s="15"/>
    </row>
    <row r="14" customFormat="false" ht="23.85" hidden="false" customHeight="false" outlineLevel="0" collapsed="false">
      <c r="A14" s="13" t="s">
        <v>206</v>
      </c>
      <c r="B14" s="13"/>
      <c r="C14" s="13"/>
      <c r="D14" s="13"/>
      <c r="E14" s="13"/>
      <c r="F14" s="13"/>
      <c r="G14" s="13"/>
      <c r="H14" s="13"/>
      <c r="I14" s="13"/>
    </row>
    <row r="15" customFormat="false" ht="23.85" hidden="false" customHeight="false" outlineLevel="0" collapsed="false">
      <c r="A15" s="15" t="s">
        <v>207</v>
      </c>
      <c r="B15" s="15"/>
      <c r="C15" s="15"/>
      <c r="D15" s="15"/>
      <c r="E15" s="15"/>
      <c r="F15" s="15"/>
      <c r="G15" s="15"/>
      <c r="H15" s="15"/>
      <c r="I15" s="15"/>
    </row>
  </sheetData>
  <mergeCells count="1">
    <mergeCell ref="A5:I5"/>
  </mergeCells>
  <dataValidations count="1">
    <dataValidation allowBlank="true" errorStyle="stop" operator="between" showDropDown="false" showErrorMessage="false" showInputMessage="false" sqref="C8:F16" type="list">
      <formula1>"Yes,No,Partial,N/A"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4A574"/>
    <pageSetUpPr fitToPage="false"/>
  </sheetPr>
  <dimension ref="A2:K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80"/>
  </cols>
  <sheetData>
    <row r="2" customFormat="false" ht="19.7" hidden="false" customHeight="false" outlineLevel="0" collapsed="false">
      <c r="B2" s="27" t="s">
        <v>208</v>
      </c>
    </row>
    <row r="3" customFormat="false" ht="15" hidden="false" customHeight="false" outlineLevel="0" collapsed="false">
      <c r="B3" s="28" t="s">
        <v>209</v>
      </c>
    </row>
    <row r="4" customFormat="false" ht="3" hidden="false" customHeight="true" outlineLevel="0" collapsed="false">
      <c r="A4" s="29"/>
      <c r="B4" s="29"/>
      <c r="C4" s="29"/>
      <c r="D4" s="29"/>
      <c r="E4" s="29"/>
      <c r="F4" s="29"/>
      <c r="G4" s="29"/>
      <c r="H4" s="29"/>
      <c r="I4" s="29"/>
      <c r="J4" s="29"/>
      <c r="K4" s="29"/>
    </row>
    <row r="6" customFormat="false" ht="15" hidden="false" customHeight="false" outlineLevel="0" collapsed="false">
      <c r="B6" s="30" t="s">
        <v>210</v>
      </c>
    </row>
    <row r="7" customFormat="false" ht="88.5" hidden="false" customHeight="true" outlineLevel="0" collapsed="false">
      <c r="B7" s="31" t="s">
        <v>211</v>
      </c>
    </row>
    <row r="9" customFormat="false" ht="15" hidden="false" customHeight="false" outlineLevel="0" collapsed="false">
      <c r="B9" s="30" t="s">
        <v>212</v>
      </c>
    </row>
    <row r="10" customFormat="false" ht="103.5" hidden="false" customHeight="true" outlineLevel="0" collapsed="false">
      <c r="B10" s="31" t="s">
        <v>213</v>
      </c>
    </row>
    <row r="12" customFormat="false" ht="15" hidden="false" customHeight="false" outlineLevel="0" collapsed="false">
      <c r="B12" s="30" t="s">
        <v>214</v>
      </c>
    </row>
    <row r="13" customFormat="false" ht="69" hidden="false" customHeight="true" outlineLevel="0" collapsed="false">
      <c r="B13" s="31" t="s">
        <v>215</v>
      </c>
    </row>
    <row r="16" customFormat="false" ht="15" hidden="false" customHeight="false" outlineLevel="0" collapsed="false">
      <c r="B16" s="30" t="s">
        <v>216</v>
      </c>
    </row>
    <row r="17" customFormat="false" ht="93.75" hidden="false" customHeight="true" outlineLevel="0" collapsed="false">
      <c r="B17" s="31" t="s">
        <v>217</v>
      </c>
    </row>
    <row r="19" customFormat="false" ht="15" hidden="false" customHeight="false" outlineLevel="0" collapsed="false">
      <c r="B19" s="30" t="s">
        <v>218</v>
      </c>
    </row>
    <row r="20" customFormat="false" ht="75" hidden="false" customHeight="true" outlineLevel="0" collapsed="false">
      <c r="B20" s="31" t="s">
        <v>219</v>
      </c>
    </row>
    <row r="22" customFormat="false" ht="15" hidden="false" customHeight="false" outlineLevel="0" collapsed="false">
      <c r="B22" s="30" t="s">
        <v>220</v>
      </c>
    </row>
    <row r="23" customFormat="false" ht="63" hidden="false" customHeight="true" outlineLevel="0" collapsed="false">
      <c r="B23" s="31" t="s">
        <v>221</v>
      </c>
    </row>
    <row r="25" customFormat="false" ht="15" hidden="false" customHeight="false" outlineLevel="0" collapsed="false">
      <c r="B25" s="30" t="s">
        <v>222</v>
      </c>
    </row>
    <row r="26" customFormat="false" ht="79.5" hidden="false" customHeight="true" outlineLevel="0" collapsed="false">
      <c r="B26" s="31" t="s">
        <v>223</v>
      </c>
    </row>
    <row r="29" customFormat="false" ht="15" hidden="false" customHeight="false" outlineLevel="0" collapsed="false">
      <c r="B29" s="30" t="s">
        <v>224</v>
      </c>
    </row>
    <row r="30" customFormat="false" ht="94.5" hidden="false" customHeight="true" outlineLevel="0" collapsed="false">
      <c r="B30" s="31" t="s">
        <v>225</v>
      </c>
    </row>
    <row r="32" customFormat="false" ht="15" hidden="false" customHeight="false" outlineLevel="0" collapsed="false">
      <c r="B32" s="30" t="s">
        <v>226</v>
      </c>
    </row>
    <row r="33" customFormat="false" ht="105" hidden="false" customHeight="true" outlineLevel="0" collapsed="false">
      <c r="B33" s="31" t="s">
        <v>227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2026-02-08T22:09:25Z</dcterms:created>
  <dc:creator>openpyxl</dc:creator>
  <dc:description/>
  <dc:language>en-US</dc:language>
  <cp:lastModifiedBy/>
  <dcterms:modified xsi:type="dcterms:W3CDTF">2026-02-08T22:09:25Z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